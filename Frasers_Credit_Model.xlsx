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dhwanisaxena/Documents/1. JOB STRATEGY 2026/4. Financial Modeling/"/>
    </mc:Choice>
  </mc:AlternateContent>
  <xr:revisionPtr revIDLastSave="0" documentId="13_ncr:1_{5A447EB1-DDBB-0944-AD1C-A7BB2F393953}" xr6:coauthVersionLast="47" xr6:coauthVersionMax="47" xr10:uidLastSave="{00000000-0000-0000-0000-000000000000}"/>
  <bookViews>
    <workbookView xWindow="0" yWindow="660" windowWidth="29400" windowHeight="18460" xr2:uid="{F2AAA9C9-F21A-F640-9294-3A8B2F906510}"/>
  </bookViews>
  <sheets>
    <sheet name="Teaser" sheetId="11" r:id="rId1"/>
    <sheet name="Analysis&gt;" sheetId="12" r:id="rId2"/>
    <sheet name="HistoricalFS" sheetId="2" r:id="rId3"/>
    <sheet name="Segments" sheetId="3" r:id="rId4"/>
    <sheet name="Capital structure" sheetId="4" r:id="rId5"/>
    <sheet name="Peer Analysis" sheetId="6" r:id="rId6"/>
    <sheet name="Drivers" sheetId="7" r:id="rId7"/>
    <sheet name="Scenario Analysis" sheetId="10" r:id="rId8"/>
    <sheet name="Data&gt;" sheetId="5" r:id="rId9"/>
    <sheet name="Data Sheet" sheetId="1" r:id="rId1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01" i="11" l="1"/>
  <c r="E100" i="11"/>
  <c r="E99" i="11"/>
  <c r="E98" i="11"/>
  <c r="E97" i="11"/>
  <c r="E95" i="11"/>
  <c r="D95" i="11"/>
  <c r="C95" i="11"/>
  <c r="B95" i="11"/>
  <c r="E94" i="11"/>
  <c r="D94" i="11"/>
  <c r="C94" i="11"/>
  <c r="B94" i="11"/>
  <c r="E93" i="11"/>
  <c r="D93" i="11"/>
  <c r="C93" i="11"/>
  <c r="B93" i="11"/>
  <c r="E92" i="11"/>
  <c r="D92" i="11"/>
  <c r="B92" i="11"/>
  <c r="E91" i="11"/>
  <c r="D91" i="11"/>
  <c r="C91" i="11"/>
  <c r="B91" i="11"/>
  <c r="E90" i="11"/>
  <c r="D90" i="11"/>
  <c r="C90" i="11"/>
  <c r="B81" i="11"/>
  <c r="C81" i="11"/>
  <c r="D81" i="11"/>
  <c r="F81" i="11"/>
  <c r="B82" i="11"/>
  <c r="C82" i="11"/>
  <c r="D82" i="11"/>
  <c r="E82" i="11"/>
  <c r="F82" i="11"/>
  <c r="B83" i="11"/>
  <c r="C83" i="11"/>
  <c r="D83" i="11"/>
  <c r="E83" i="11"/>
  <c r="F83" i="11"/>
  <c r="B84" i="11"/>
  <c r="C84" i="11"/>
  <c r="D84" i="11"/>
  <c r="E84" i="11"/>
  <c r="F84" i="11"/>
  <c r="B85" i="11"/>
  <c r="C85" i="11"/>
  <c r="D85" i="11"/>
  <c r="E85" i="11"/>
  <c r="F85" i="11"/>
  <c r="B86" i="11"/>
  <c r="C86" i="11"/>
  <c r="D86" i="11"/>
  <c r="E86" i="11"/>
  <c r="F86" i="11"/>
  <c r="B87" i="11"/>
  <c r="C87" i="11"/>
  <c r="D87" i="11"/>
  <c r="E87" i="11"/>
  <c r="F87" i="11"/>
  <c r="E13" i="10"/>
  <c r="D13" i="10"/>
  <c r="C13" i="10"/>
  <c r="D57" i="11"/>
  <c r="B31" i="11"/>
  <c r="C31" i="11"/>
  <c r="D31" i="11"/>
  <c r="E31" i="11"/>
  <c r="B32" i="11"/>
  <c r="C32" i="11"/>
  <c r="D32" i="11"/>
  <c r="E32" i="11"/>
  <c r="B33" i="11"/>
  <c r="C33" i="11"/>
  <c r="D33" i="11"/>
  <c r="E33" i="11"/>
  <c r="B34" i="11"/>
  <c r="C34" i="11"/>
  <c r="D34" i="11"/>
  <c r="E34" i="11"/>
  <c r="B35" i="11"/>
  <c r="C35" i="11"/>
  <c r="D35" i="11"/>
  <c r="E35" i="11"/>
  <c r="F27" i="11"/>
  <c r="E27" i="11"/>
  <c r="D27" i="11"/>
  <c r="B27" i="11"/>
  <c r="F26" i="11"/>
  <c r="E26" i="11"/>
  <c r="D26" i="11"/>
  <c r="B26" i="11"/>
  <c r="F25" i="11"/>
  <c r="E25" i="11"/>
  <c r="D25" i="11"/>
  <c r="B25" i="11"/>
  <c r="C37" i="10"/>
  <c r="B37" i="10"/>
  <c r="C36" i="10"/>
  <c r="E36" i="10" s="1"/>
  <c r="B36" i="10"/>
  <c r="C35" i="10"/>
  <c r="E35" i="10" s="1"/>
  <c r="B35" i="10"/>
  <c r="C34" i="10"/>
  <c r="E34" i="10" s="1"/>
  <c r="B34" i="10"/>
  <c r="C33" i="10"/>
  <c r="E33" i="10" s="1"/>
  <c r="B33" i="10"/>
  <c r="C32" i="10"/>
  <c r="E32" i="10" s="1"/>
  <c r="B32" i="10"/>
  <c r="C31" i="10"/>
  <c r="E31" i="10" s="1"/>
  <c r="B31" i="10"/>
  <c r="C30" i="10"/>
  <c r="E30" i="10" s="1"/>
  <c r="B30" i="10"/>
  <c r="C29" i="10"/>
  <c r="E29" i="10" s="1"/>
  <c r="B29" i="10"/>
  <c r="C28" i="10"/>
  <c r="E28" i="10" s="1"/>
  <c r="B28" i="10"/>
  <c r="C27" i="10"/>
  <c r="B27" i="10"/>
  <c r="C24" i="10"/>
  <c r="C23" i="10"/>
  <c r="C5" i="10"/>
  <c r="D5" i="10" s="1"/>
  <c r="E5" i="10" s="1"/>
  <c r="C11" i="10"/>
  <c r="D11" i="10" s="1"/>
  <c r="E11" i="10" s="1"/>
  <c r="C8" i="10"/>
  <c r="C6" i="10"/>
  <c r="E6" i="10" s="1"/>
  <c r="E8" i="10" s="1"/>
  <c r="G102" i="2"/>
  <c r="F102" i="2"/>
  <c r="E102" i="2"/>
  <c r="D102" i="2"/>
  <c r="C102" i="2"/>
  <c r="G241" i="1"/>
  <c r="F241" i="1"/>
  <c r="E241" i="1"/>
  <c r="D239" i="1"/>
  <c r="D238" i="1"/>
  <c r="D237" i="1"/>
  <c r="G242" i="1"/>
  <c r="F242" i="1"/>
  <c r="E242" i="1"/>
  <c r="D33" i="4"/>
  <c r="D60" i="11" s="1"/>
  <c r="C33" i="4"/>
  <c r="D34" i="4"/>
  <c r="C34" i="4"/>
  <c r="C31" i="4"/>
  <c r="D3" i="4"/>
  <c r="C3" i="4"/>
  <c r="B3" i="4"/>
  <c r="B6" i="4"/>
  <c r="C6" i="4"/>
  <c r="D6" i="4"/>
  <c r="D54" i="11" s="1"/>
  <c r="C7" i="4"/>
  <c r="C30" i="4" s="1"/>
  <c r="D7" i="4"/>
  <c r="D55" i="11" s="1"/>
  <c r="C8" i="4"/>
  <c r="D8" i="4"/>
  <c r="B9" i="4"/>
  <c r="C9" i="4"/>
  <c r="D9" i="4"/>
  <c r="D56" i="11" s="1"/>
  <c r="B10" i="4"/>
  <c r="C10" i="4"/>
  <c r="C35" i="4" s="1"/>
  <c r="D10" i="4"/>
  <c r="D36" i="4" s="1"/>
  <c r="B11" i="4"/>
  <c r="C11" i="4"/>
  <c r="D11" i="4"/>
  <c r="B12" i="4"/>
  <c r="C12" i="4"/>
  <c r="C32" i="4" s="1"/>
  <c r="D12" i="4"/>
  <c r="B13" i="4"/>
  <c r="C13" i="4"/>
  <c r="D13" i="4"/>
  <c r="B15" i="4"/>
  <c r="B16" i="4"/>
  <c r="C16" i="4"/>
  <c r="D16" i="4"/>
  <c r="E16" i="4"/>
  <c r="F16" i="4"/>
  <c r="G16" i="4"/>
  <c r="H16" i="4"/>
  <c r="B17" i="4"/>
  <c r="C17" i="4"/>
  <c r="D17" i="4"/>
  <c r="E17" i="4"/>
  <c r="F17" i="4"/>
  <c r="G17" i="4"/>
  <c r="H17" i="4"/>
  <c r="B18" i="4"/>
  <c r="C18" i="4"/>
  <c r="D18" i="4"/>
  <c r="E18" i="4"/>
  <c r="F18" i="4"/>
  <c r="G18" i="4"/>
  <c r="H18" i="4"/>
  <c r="B22" i="4"/>
  <c r="C23" i="4"/>
  <c r="D23" i="4"/>
  <c r="E23" i="4"/>
  <c r="F23" i="4"/>
  <c r="G23" i="4"/>
  <c r="B24" i="4"/>
  <c r="C24" i="4"/>
  <c r="D24" i="4"/>
  <c r="E24" i="4"/>
  <c r="F24" i="4"/>
  <c r="G24" i="4"/>
  <c r="B25" i="4"/>
  <c r="C25" i="4"/>
  <c r="D25" i="4"/>
  <c r="E25" i="4"/>
  <c r="F25" i="4"/>
  <c r="G25" i="4"/>
  <c r="B26" i="4"/>
  <c r="C26" i="4"/>
  <c r="D26" i="4"/>
  <c r="E26" i="4"/>
  <c r="F26" i="4"/>
  <c r="G26" i="4"/>
  <c r="B27" i="4"/>
  <c r="C27" i="4"/>
  <c r="D27" i="4"/>
  <c r="E27" i="4"/>
  <c r="F27" i="4"/>
  <c r="G27" i="4"/>
  <c r="D5" i="4"/>
  <c r="B5" i="4"/>
  <c r="H25" i="3"/>
  <c r="H24" i="3"/>
  <c r="B6" i="3"/>
  <c r="C6" i="3"/>
  <c r="I16" i="3" s="1"/>
  <c r="D6" i="3"/>
  <c r="E6" i="3"/>
  <c r="K16" i="3" s="1"/>
  <c r="B7" i="3"/>
  <c r="C7" i="3"/>
  <c r="D7" i="3"/>
  <c r="E7" i="3"/>
  <c r="B8" i="3"/>
  <c r="C8" i="3"/>
  <c r="D8" i="3"/>
  <c r="E8" i="3"/>
  <c r="B9" i="3"/>
  <c r="C9" i="3"/>
  <c r="D9" i="3"/>
  <c r="E9" i="3"/>
  <c r="B10" i="3"/>
  <c r="C10" i="3"/>
  <c r="D10" i="3"/>
  <c r="E10" i="3"/>
  <c r="B11" i="3"/>
  <c r="C11" i="3"/>
  <c r="D11" i="3"/>
  <c r="E11" i="3"/>
  <c r="B12" i="3"/>
  <c r="C12" i="3"/>
  <c r="D12" i="3"/>
  <c r="E12" i="3"/>
  <c r="B14" i="3"/>
  <c r="B15" i="3"/>
  <c r="C15" i="3"/>
  <c r="I17" i="3" s="1"/>
  <c r="D15" i="3"/>
  <c r="E15" i="3"/>
  <c r="K17" i="3" s="1"/>
  <c r="B16" i="3"/>
  <c r="C16" i="3"/>
  <c r="D16" i="3"/>
  <c r="E16" i="3"/>
  <c r="B17" i="3"/>
  <c r="C17" i="3"/>
  <c r="D17" i="3"/>
  <c r="E17" i="3"/>
  <c r="B18" i="3"/>
  <c r="C18" i="3"/>
  <c r="D18" i="3"/>
  <c r="E18" i="3"/>
  <c r="B19" i="3"/>
  <c r="C19" i="3"/>
  <c r="D19" i="3"/>
  <c r="E19" i="3"/>
  <c r="B20" i="3"/>
  <c r="C20" i="3"/>
  <c r="D20" i="3"/>
  <c r="E20" i="3"/>
  <c r="B21" i="3"/>
  <c r="C21" i="3"/>
  <c r="D21" i="3"/>
  <c r="E21" i="3"/>
  <c r="B23" i="3"/>
  <c r="B24" i="3"/>
  <c r="C24" i="3"/>
  <c r="I18" i="3" s="1"/>
  <c r="D24" i="3"/>
  <c r="E24" i="3"/>
  <c r="B25" i="3"/>
  <c r="C25" i="3"/>
  <c r="D25" i="3"/>
  <c r="E25" i="3"/>
  <c r="B26" i="3"/>
  <c r="C26" i="3"/>
  <c r="D26" i="3"/>
  <c r="E26" i="3"/>
  <c r="B27" i="3"/>
  <c r="C27" i="3"/>
  <c r="D27" i="3"/>
  <c r="E27" i="3"/>
  <c r="B28" i="3"/>
  <c r="C28" i="3"/>
  <c r="D28" i="3"/>
  <c r="E28" i="3"/>
  <c r="B29" i="3"/>
  <c r="C29" i="3"/>
  <c r="D29" i="3"/>
  <c r="E29" i="3"/>
  <c r="B30" i="3"/>
  <c r="C30" i="3"/>
  <c r="D30" i="3"/>
  <c r="E30" i="3"/>
  <c r="B32" i="3"/>
  <c r="B33" i="3"/>
  <c r="C33" i="3"/>
  <c r="I19" i="3" s="1"/>
  <c r="D33" i="3"/>
  <c r="E33" i="3"/>
  <c r="B34" i="3"/>
  <c r="C34" i="3"/>
  <c r="D34" i="3"/>
  <c r="E34" i="3"/>
  <c r="B35" i="3"/>
  <c r="C35" i="3"/>
  <c r="D35" i="3"/>
  <c r="E35" i="3"/>
  <c r="B36" i="3"/>
  <c r="C36" i="3"/>
  <c r="D36" i="3"/>
  <c r="E36" i="3"/>
  <c r="B37" i="3"/>
  <c r="C37" i="3"/>
  <c r="D37" i="3"/>
  <c r="E37" i="3"/>
  <c r="B39" i="3"/>
  <c r="B40" i="3"/>
  <c r="C40" i="3"/>
  <c r="I20" i="3" s="1"/>
  <c r="D40" i="3"/>
  <c r="E40" i="3"/>
  <c r="K20" i="3" s="1"/>
  <c r="B41" i="3"/>
  <c r="C41" i="3"/>
  <c r="D41" i="3"/>
  <c r="E41" i="3"/>
  <c r="B42" i="3"/>
  <c r="C42" i="3"/>
  <c r="D42" i="3"/>
  <c r="E42" i="3"/>
  <c r="B43" i="3"/>
  <c r="C43" i="3"/>
  <c r="D43" i="3"/>
  <c r="E43" i="3"/>
  <c r="B44" i="3"/>
  <c r="C44" i="3"/>
  <c r="D44" i="3"/>
  <c r="E44" i="3"/>
  <c r="B45" i="3"/>
  <c r="C45" i="3"/>
  <c r="D45" i="3"/>
  <c r="E45" i="3"/>
  <c r="B5" i="3"/>
  <c r="D79" i="2"/>
  <c r="E79" i="2"/>
  <c r="F79" i="2"/>
  <c r="G79" i="2"/>
  <c r="D80" i="2"/>
  <c r="E80" i="2"/>
  <c r="F80" i="2"/>
  <c r="G80" i="2"/>
  <c r="D81" i="2"/>
  <c r="E81" i="2"/>
  <c r="F81" i="2"/>
  <c r="G81" i="2"/>
  <c r="D82" i="2"/>
  <c r="E82" i="2"/>
  <c r="F82" i="2"/>
  <c r="G82" i="2"/>
  <c r="D83" i="2"/>
  <c r="E83" i="2"/>
  <c r="F83" i="2"/>
  <c r="G83" i="2"/>
  <c r="D85" i="2"/>
  <c r="E85" i="2"/>
  <c r="F85" i="2"/>
  <c r="G85" i="2"/>
  <c r="D86" i="2"/>
  <c r="E86" i="2"/>
  <c r="F86" i="2"/>
  <c r="G86" i="2"/>
  <c r="D87" i="2"/>
  <c r="E87" i="2"/>
  <c r="F87" i="2"/>
  <c r="G87" i="2"/>
  <c r="D88" i="2"/>
  <c r="E88" i="2"/>
  <c r="F88" i="2"/>
  <c r="G88" i="2"/>
  <c r="D90" i="2"/>
  <c r="E90" i="2"/>
  <c r="F90" i="2"/>
  <c r="G90" i="2"/>
  <c r="D91" i="2"/>
  <c r="E91" i="2"/>
  <c r="F91" i="2"/>
  <c r="G91" i="2"/>
  <c r="D92" i="2"/>
  <c r="E92" i="2"/>
  <c r="F92" i="2"/>
  <c r="G92" i="2"/>
  <c r="D93" i="2"/>
  <c r="E93" i="2"/>
  <c r="F93" i="2"/>
  <c r="G93" i="2"/>
  <c r="D94" i="2"/>
  <c r="E94" i="2"/>
  <c r="F94" i="2"/>
  <c r="G94" i="2"/>
  <c r="D95" i="2"/>
  <c r="E95" i="2"/>
  <c r="F95" i="2"/>
  <c r="G95" i="2"/>
  <c r="D97" i="2"/>
  <c r="E97" i="2"/>
  <c r="F97" i="2"/>
  <c r="G97" i="2"/>
  <c r="D98" i="2"/>
  <c r="E98" i="2"/>
  <c r="F98" i="2"/>
  <c r="G98" i="2"/>
  <c r="D99" i="2"/>
  <c r="E99" i="2"/>
  <c r="F99" i="2"/>
  <c r="G99" i="2"/>
  <c r="D100" i="2"/>
  <c r="E100" i="2"/>
  <c r="F100" i="2"/>
  <c r="G100" i="2"/>
  <c r="C80" i="2"/>
  <c r="C81" i="2"/>
  <c r="C82" i="2"/>
  <c r="C83" i="2"/>
  <c r="C85" i="2"/>
  <c r="C86" i="2"/>
  <c r="C87" i="2"/>
  <c r="C88" i="2"/>
  <c r="C90" i="2"/>
  <c r="C91" i="2"/>
  <c r="C92" i="2"/>
  <c r="C93" i="2"/>
  <c r="C94" i="2"/>
  <c r="C95" i="2"/>
  <c r="C97" i="2"/>
  <c r="C98" i="2"/>
  <c r="C99" i="2"/>
  <c r="C100" i="2"/>
  <c r="C79" i="2"/>
  <c r="D45" i="2"/>
  <c r="E45" i="2"/>
  <c r="F45" i="2"/>
  <c r="G45" i="2"/>
  <c r="D46" i="2"/>
  <c r="E46" i="2"/>
  <c r="F46" i="2"/>
  <c r="G46" i="2"/>
  <c r="D47" i="2"/>
  <c r="E47" i="2"/>
  <c r="F47" i="2"/>
  <c r="G47" i="2"/>
  <c r="D48" i="2"/>
  <c r="E48" i="2"/>
  <c r="F48" i="2"/>
  <c r="G48" i="2"/>
  <c r="D49" i="2"/>
  <c r="E49" i="2"/>
  <c r="F49" i="2"/>
  <c r="G49" i="2"/>
  <c r="D51" i="2"/>
  <c r="E51" i="2"/>
  <c r="F51" i="2"/>
  <c r="G51" i="2"/>
  <c r="D52" i="2"/>
  <c r="E52" i="2"/>
  <c r="F52" i="2"/>
  <c r="G52" i="2"/>
  <c r="D53" i="2"/>
  <c r="E53" i="2"/>
  <c r="F53" i="2"/>
  <c r="G53" i="2"/>
  <c r="D54" i="2"/>
  <c r="E54" i="2"/>
  <c r="F54" i="2"/>
  <c r="G54" i="2"/>
  <c r="D55" i="2"/>
  <c r="E55" i="2"/>
  <c r="F55" i="2"/>
  <c r="G55" i="2"/>
  <c r="D56" i="2"/>
  <c r="E56" i="2"/>
  <c r="F56" i="2"/>
  <c r="G56" i="2"/>
  <c r="D58" i="2"/>
  <c r="E58" i="2"/>
  <c r="F58" i="2"/>
  <c r="G58" i="2"/>
  <c r="D59" i="2"/>
  <c r="E59" i="2"/>
  <c r="F59" i="2"/>
  <c r="G59" i="2"/>
  <c r="D60" i="2"/>
  <c r="E60" i="2"/>
  <c r="F60" i="2"/>
  <c r="G60" i="2"/>
  <c r="D61" i="2"/>
  <c r="E61" i="2"/>
  <c r="F61" i="2"/>
  <c r="G61" i="2"/>
  <c r="D62" i="2"/>
  <c r="E62" i="2"/>
  <c r="F62" i="2"/>
  <c r="G62" i="2"/>
  <c r="D63" i="2"/>
  <c r="E63" i="2"/>
  <c r="F63" i="2"/>
  <c r="G63" i="2"/>
  <c r="D64" i="2"/>
  <c r="E64" i="2"/>
  <c r="F64" i="2"/>
  <c r="G64" i="2"/>
  <c r="D66" i="2"/>
  <c r="E66" i="2"/>
  <c r="F66" i="2"/>
  <c r="G66" i="2"/>
  <c r="D67" i="2"/>
  <c r="E67" i="2"/>
  <c r="F67" i="2"/>
  <c r="G67" i="2"/>
  <c r="D68" i="2"/>
  <c r="E68" i="2"/>
  <c r="F68" i="2"/>
  <c r="G68" i="2"/>
  <c r="D69" i="2"/>
  <c r="E69" i="2"/>
  <c r="F69" i="2"/>
  <c r="G69" i="2"/>
  <c r="D71" i="2"/>
  <c r="E71" i="2"/>
  <c r="F71" i="2"/>
  <c r="G71" i="2"/>
  <c r="D73" i="2"/>
  <c r="E73" i="2"/>
  <c r="F73" i="2"/>
  <c r="G73" i="2"/>
  <c r="D75" i="2"/>
  <c r="E75" i="2"/>
  <c r="F75" i="2"/>
  <c r="G75" i="2"/>
  <c r="C46" i="2"/>
  <c r="C47" i="2"/>
  <c r="C48" i="2"/>
  <c r="C49" i="2"/>
  <c r="C51" i="2"/>
  <c r="C52" i="2"/>
  <c r="C53" i="2"/>
  <c r="C54" i="2"/>
  <c r="C55" i="2"/>
  <c r="C56" i="2"/>
  <c r="C58" i="2"/>
  <c r="C59" i="2"/>
  <c r="C60" i="2"/>
  <c r="C61" i="2"/>
  <c r="C62" i="2"/>
  <c r="C63" i="2"/>
  <c r="C64" i="2"/>
  <c r="C66" i="2"/>
  <c r="C67" i="2"/>
  <c r="C68" i="2"/>
  <c r="C69" i="2"/>
  <c r="C71" i="2"/>
  <c r="C73" i="2"/>
  <c r="C75" i="2"/>
  <c r="C45" i="2"/>
  <c r="D10" i="2"/>
  <c r="E10" i="2"/>
  <c r="F10" i="2"/>
  <c r="G10" i="2"/>
  <c r="D11" i="2"/>
  <c r="E11" i="2"/>
  <c r="F11" i="2"/>
  <c r="G11" i="2"/>
  <c r="D13" i="2"/>
  <c r="E13" i="2"/>
  <c r="F13" i="2"/>
  <c r="G13" i="2"/>
  <c r="D16" i="2"/>
  <c r="E16" i="2"/>
  <c r="F16" i="2"/>
  <c r="G16" i="2"/>
  <c r="D17" i="2"/>
  <c r="E17" i="2"/>
  <c r="F17" i="2"/>
  <c r="G17" i="2"/>
  <c r="D19" i="2"/>
  <c r="E19" i="2"/>
  <c r="F19" i="2"/>
  <c r="G19" i="2"/>
  <c r="D30" i="2"/>
  <c r="E30" i="2"/>
  <c r="F30" i="2"/>
  <c r="G30" i="2"/>
  <c r="D31" i="2"/>
  <c r="E31" i="2"/>
  <c r="F31" i="2"/>
  <c r="G31" i="2"/>
  <c r="D33" i="2"/>
  <c r="E33" i="2"/>
  <c r="F33" i="2"/>
  <c r="G33" i="2"/>
  <c r="D35" i="2"/>
  <c r="E35" i="2"/>
  <c r="F35" i="2"/>
  <c r="G35" i="2"/>
  <c r="D37" i="2"/>
  <c r="E37" i="2"/>
  <c r="F37" i="2"/>
  <c r="G37" i="2"/>
  <c r="D39" i="2"/>
  <c r="E39" i="2"/>
  <c r="F39" i="2"/>
  <c r="G39" i="2"/>
  <c r="D40" i="2"/>
  <c r="E40" i="2"/>
  <c r="F40" i="2"/>
  <c r="G40" i="2"/>
  <c r="D41" i="2"/>
  <c r="E41" i="2"/>
  <c r="F41" i="2"/>
  <c r="G41" i="2"/>
  <c r="D21" i="2"/>
  <c r="E21" i="2"/>
  <c r="F21" i="2"/>
  <c r="G21" i="2"/>
  <c r="D22" i="2"/>
  <c r="E22" i="2"/>
  <c r="F22" i="2"/>
  <c r="G22" i="2"/>
  <c r="D23" i="2"/>
  <c r="E23" i="2"/>
  <c r="F23" i="2"/>
  <c r="G23" i="2"/>
  <c r="D27" i="2"/>
  <c r="E27" i="2"/>
  <c r="F27" i="2"/>
  <c r="G27" i="2"/>
  <c r="C11" i="2"/>
  <c r="C13" i="2"/>
  <c r="C16" i="2"/>
  <c r="C17" i="2"/>
  <c r="C19" i="2"/>
  <c r="C30" i="2"/>
  <c r="C31" i="2"/>
  <c r="C33" i="2"/>
  <c r="C35" i="2"/>
  <c r="C37" i="2"/>
  <c r="C39" i="2"/>
  <c r="C40" i="2"/>
  <c r="C41" i="2"/>
  <c r="C21" i="2"/>
  <c r="C22" i="2"/>
  <c r="C23" i="2"/>
  <c r="C27" i="2"/>
  <c r="C10" i="2"/>
  <c r="H17" i="3" l="1"/>
  <c r="J23" i="3" s="1"/>
  <c r="H16" i="3"/>
  <c r="I23" i="3" s="1"/>
  <c r="H20" i="3"/>
  <c r="M23" i="3" s="1"/>
  <c r="H18" i="3"/>
  <c r="K23" i="3" s="1"/>
  <c r="H19" i="3"/>
  <c r="L23" i="3" s="1"/>
  <c r="C25" i="10"/>
  <c r="C41" i="10" s="1"/>
  <c r="E37" i="10"/>
  <c r="C40" i="10" s="1"/>
  <c r="C42" i="10" s="1"/>
  <c r="C43" i="10" s="1"/>
  <c r="D32" i="4"/>
  <c r="D30" i="4"/>
  <c r="D58" i="11" s="1"/>
  <c r="D240" i="1"/>
  <c r="C9" i="10"/>
  <c r="D9" i="10" s="1"/>
  <c r="E9" i="10" s="1"/>
  <c r="E10" i="10" s="1"/>
  <c r="C12" i="10"/>
  <c r="E12" i="10"/>
  <c r="D6" i="10"/>
  <c r="D35" i="4"/>
  <c r="C36" i="4"/>
  <c r="D31" i="4"/>
  <c r="D59" i="11" s="1"/>
  <c r="F20" i="3"/>
  <c r="F17" i="3"/>
  <c r="F26" i="3"/>
  <c r="F11" i="3"/>
  <c r="F45" i="3"/>
  <c r="F8" i="3"/>
  <c r="F42" i="3"/>
  <c r="F34" i="3"/>
  <c r="I21" i="3"/>
  <c r="J18" i="3" s="1"/>
  <c r="K24" i="3" s="1"/>
  <c r="F24" i="3"/>
  <c r="K18" i="3"/>
  <c r="K19" i="3"/>
  <c r="F6" i="3"/>
  <c r="F33" i="3"/>
  <c r="F40" i="3"/>
  <c r="F15" i="3"/>
  <c r="G28" i="2"/>
  <c r="D28" i="2"/>
  <c r="G25" i="2"/>
  <c r="F28" i="2"/>
  <c r="F25" i="2"/>
  <c r="C25" i="2"/>
  <c r="D25" i="2"/>
  <c r="E28" i="2"/>
  <c r="E25" i="2"/>
  <c r="C28" i="2"/>
  <c r="G15" i="2"/>
  <c r="C15" i="2"/>
  <c r="F15" i="2"/>
  <c r="E15" i="2"/>
  <c r="D15" i="2"/>
  <c r="D10" i="10" l="1"/>
  <c r="C10" i="10"/>
  <c r="D8" i="10"/>
  <c r="D12" i="10"/>
  <c r="J19" i="3"/>
  <c r="L24" i="3" s="1"/>
  <c r="J16" i="3"/>
  <c r="I24" i="3" s="1"/>
  <c r="J17" i="3"/>
  <c r="J24" i="3" s="1"/>
  <c r="K21" i="3"/>
  <c r="J20" i="3"/>
  <c r="M24" i="3" s="1"/>
  <c r="L20" i="3" l="1"/>
  <c r="M25" i="3" s="1"/>
  <c r="L16" i="3"/>
  <c r="I25" i="3" s="1"/>
  <c r="L17" i="3"/>
  <c r="J25" i="3" s="1"/>
  <c r="L18" i="3"/>
  <c r="K25" i="3" s="1"/>
  <c r="L19" i="3"/>
  <c r="L25" i="3" s="1"/>
</calcChain>
</file>

<file path=xl/sharedStrings.xml><?xml version="1.0" encoding="utf-8"?>
<sst xmlns="http://schemas.openxmlformats.org/spreadsheetml/2006/main" count="684" uniqueCount="382">
  <si>
    <t>Gross profit</t>
  </si>
  <si>
    <t>EBITDA</t>
  </si>
  <si>
    <t>EBIT</t>
  </si>
  <si>
    <t>Period Ending:</t>
  </si>
  <si>
    <t>Total Revenues</t>
  </si>
  <si>
    <t>Total Revenues Growth</t>
  </si>
  <si>
    <t>Cost of Revenue</t>
  </si>
  <si>
    <t>Gross Profit</t>
  </si>
  <si>
    <t>Gross Profit Growth</t>
  </si>
  <si>
    <t>Gross Profit Margin %</t>
  </si>
  <si>
    <t>Other Operating Expenses, Total</t>
  </si>
  <si>
    <t>-</t>
  </si>
  <si>
    <t>Operating Income</t>
  </si>
  <si>
    <t>Operating Income Growth</t>
  </si>
  <si>
    <t>EBIT Margin %</t>
  </si>
  <si>
    <t>Net Interest Expenses</t>
  </si>
  <si>
    <t>Net Interest Expenses Growth</t>
  </si>
  <si>
    <t>Interest Expense, Total</t>
  </si>
  <si>
    <t>Interest And Investment Income</t>
  </si>
  <si>
    <t>Other Non Operating Expenses, Total</t>
  </si>
  <si>
    <t>EBT, Excl. Unusual Items</t>
  </si>
  <si>
    <t>Gain (Loss) On Sale Of Assets</t>
  </si>
  <si>
    <t>Other Unusual Items, Total</t>
  </si>
  <si>
    <t>EBT, Incl. Unusual Items</t>
  </si>
  <si>
    <t>EBT, Incl. Unusual Items Growth</t>
  </si>
  <si>
    <t>EBT, Incl. Unusual Items Margin</t>
  </si>
  <si>
    <t>Income Tax Expense</t>
  </si>
  <si>
    <t>Net Income to Company</t>
  </si>
  <si>
    <t>Minority Interest</t>
  </si>
  <si>
    <t>Net Income</t>
  </si>
  <si>
    <t>Net Income Growth</t>
  </si>
  <si>
    <t>Net Income Margin %</t>
  </si>
  <si>
    <t>Preferred Dividend and Other Adjustments</t>
  </si>
  <si>
    <t>Net Income to Common Excl. Extra Items</t>
  </si>
  <si>
    <t>Basic EPS - Continuing Operations</t>
  </si>
  <si>
    <t>Basic EPS - Continuing Operations Growth</t>
  </si>
  <si>
    <t>Diluted EPS - Continuing Operations</t>
  </si>
  <si>
    <t>Diluted EPS - Continuing Operations Growth</t>
  </si>
  <si>
    <t>Basic Weighted Average Shares Outstanding</t>
  </si>
  <si>
    <t>Diluted Weighted Average Shares Outstanding</t>
  </si>
  <si>
    <t>Dividend Per Share</t>
  </si>
  <si>
    <t>Dividend Per Share Growth</t>
  </si>
  <si>
    <t>EBITDA Growth</t>
  </si>
  <si>
    <t>EBITDA Margin %</t>
  </si>
  <si>
    <t>* In Millions of GBP (except for per share items)</t>
  </si>
  <si>
    <t>Total Current Assets</t>
  </si>
  <si>
    <t>Cash &amp; Cash Equivalents</t>
  </si>
  <si>
    <t>Cash &amp; Cash Equivalents Growth</t>
  </si>
  <si>
    <t>Short-Term Investments</t>
  </si>
  <si>
    <t>Total Receivables</t>
  </si>
  <si>
    <t>Accounts Receivable, Total</t>
  </si>
  <si>
    <t>Other Receivables</t>
  </si>
  <si>
    <t>Inventory</t>
  </si>
  <si>
    <t>Prepaid Expenses</t>
  </si>
  <si>
    <t>Finance Division Loans and Leases Current</t>
  </si>
  <si>
    <t>Finance Division Other Current Assets, Total</t>
  </si>
  <si>
    <t>Other Current Assets</t>
  </si>
  <si>
    <t>Restricted Cash</t>
  </si>
  <si>
    <t>Other Current Assets, Total</t>
  </si>
  <si>
    <t>Total Assets</t>
  </si>
  <si>
    <t>Total Assets Growth</t>
  </si>
  <si>
    <t>Net Property Plant And Equipment</t>
  </si>
  <si>
    <t>Gross Property Plant And Equipment</t>
  </si>
  <si>
    <t>Accumulated Depreciation</t>
  </si>
  <si>
    <t>Long-Term Investments</t>
  </si>
  <si>
    <t>Intangible Assets</t>
  </si>
  <si>
    <t>Goodwill</t>
  </si>
  <si>
    <t>Other Intangibles, Total</t>
  </si>
  <si>
    <t>Finance Division Loans and Leases Long-Term</t>
  </si>
  <si>
    <t>Other Assets, Total</t>
  </si>
  <si>
    <t>Loans Receivable Long-Term</t>
  </si>
  <si>
    <t>Accounts Receivable Long-Term</t>
  </si>
  <si>
    <t>Deferred Tax Assets Long-Term</t>
  </si>
  <si>
    <t>Deferred Charges Long-Term</t>
  </si>
  <si>
    <t>Other Long-Term Assets, Total</t>
  </si>
  <si>
    <t>Total Current Liabilities</t>
  </si>
  <si>
    <t>Accounts Payable, Total</t>
  </si>
  <si>
    <t>Accrued Expenses, Total</t>
  </si>
  <si>
    <t>Short-Term Borrowings</t>
  </si>
  <si>
    <t>Current Portion of Long-Term Debt / Leases</t>
  </si>
  <si>
    <t>Current Portion of Long-Term Debt</t>
  </si>
  <si>
    <t>Current Portion of Leases</t>
  </si>
  <si>
    <t>Other Current Liabilities, Total</t>
  </si>
  <si>
    <t>Current Income Taxes Payable</t>
  </si>
  <si>
    <t>Unearned Revenue Current, Total</t>
  </si>
  <si>
    <t>Other Current Liabilities</t>
  </si>
  <si>
    <t>Total Liabilities</t>
  </si>
  <si>
    <t>Total Liabilities Growth</t>
  </si>
  <si>
    <t>Long-Term Debt</t>
  </si>
  <si>
    <t>Long-Term Leases</t>
  </si>
  <si>
    <t>Other Liabilities, Total</t>
  </si>
  <si>
    <t>Unearned Revenue Non Current</t>
  </si>
  <si>
    <t>Pension &amp; Other Post Retirement Benefits</t>
  </si>
  <si>
    <t>Deferred Tax Liability Non Current</t>
  </si>
  <si>
    <t>Other Non Current Liabilities</t>
  </si>
  <si>
    <t>Total Equity</t>
  </si>
  <si>
    <t>Total Preferred Equity</t>
  </si>
  <si>
    <t>Preferred Stock Redeemable</t>
  </si>
  <si>
    <t>Preferred Stock Non Redeemable</t>
  </si>
  <si>
    <t>Preferred Stock Convertible</t>
  </si>
  <si>
    <t>Common Stock &amp; APIC</t>
  </si>
  <si>
    <t>Common Stock, Total</t>
  </si>
  <si>
    <t>Additional Paid-in Capital</t>
  </si>
  <si>
    <t>Retained Earnings</t>
  </si>
  <si>
    <t>Treasury Stock &amp; Other</t>
  </si>
  <si>
    <t>Treasury Stock</t>
  </si>
  <si>
    <t>Comprehensive Income and Other</t>
  </si>
  <si>
    <t>Total Liabilities And Equity</t>
  </si>
  <si>
    <t>Total Debt</t>
  </si>
  <si>
    <t>Total Debt Growth</t>
  </si>
  <si>
    <t>BALANCE SHEET</t>
  </si>
  <si>
    <t>INCOME STATEMENT</t>
  </si>
  <si>
    <t xml:space="preserve">CASH FLOW </t>
  </si>
  <si>
    <t>Cash from Operations</t>
  </si>
  <si>
    <t>Cash from Operations Growth</t>
  </si>
  <si>
    <t>Depreciation &amp; Amortisation, Total</t>
  </si>
  <si>
    <t>Amortisation of Deferred Charges, Total</t>
  </si>
  <si>
    <t>Other Non-Cash Items, Total</t>
  </si>
  <si>
    <t>Change in Net Operating Assets</t>
  </si>
  <si>
    <t>Cash from Investing</t>
  </si>
  <si>
    <t>Cash from Investing Growth</t>
  </si>
  <si>
    <t>Capital Expenditures (CapEx)</t>
  </si>
  <si>
    <t>Sale of Property, Plant, and Equipment</t>
  </si>
  <si>
    <t>Cash Acquisitions</t>
  </si>
  <si>
    <t>Divestitures</t>
  </si>
  <si>
    <t>Other Investing Activities</t>
  </si>
  <si>
    <t>Cash from Financing</t>
  </si>
  <si>
    <t>Cash from Financing Growth</t>
  </si>
  <si>
    <t>Total Debt Issued</t>
  </si>
  <si>
    <t>Short Term Debt Issued, Total</t>
  </si>
  <si>
    <t>Long-Term Debt Issued, Total</t>
  </si>
  <si>
    <t>Total Debt Repaid</t>
  </si>
  <si>
    <t>Short Term Debt Repaid, Total</t>
  </si>
  <si>
    <t>Long-Term Debt Repaid, Total</t>
  </si>
  <si>
    <t>Issuance of Common Stock</t>
  </si>
  <si>
    <t>Repurchase of Common Stock</t>
  </si>
  <si>
    <t>Issuance of Preferred Stock</t>
  </si>
  <si>
    <t>Repurchase of Preferred Stock</t>
  </si>
  <si>
    <t>Common &amp; Preferred Stock Dividends Paid</t>
  </si>
  <si>
    <t>Special Dividend Paid</t>
  </si>
  <si>
    <t>Other Financing Activities</t>
  </si>
  <si>
    <t>Foreign Exchange Rate Adjustments</t>
  </si>
  <si>
    <t>Miscellaneous Cash Flow Adjustments</t>
  </si>
  <si>
    <t>Net Change in Cash</t>
  </si>
  <si>
    <t>Beginning Cash Balance</t>
  </si>
  <si>
    <t>Levered Free Cash Flow</t>
  </si>
  <si>
    <t>Levered Free Cash Flow Growth</t>
  </si>
  <si>
    <t>Free Cash Flow Yield</t>
  </si>
  <si>
    <t>Years</t>
  </si>
  <si>
    <t>Income statement</t>
  </si>
  <si>
    <t>COGS</t>
  </si>
  <si>
    <t>Balance Sheet</t>
  </si>
  <si>
    <t>Cash Flow Statement</t>
  </si>
  <si>
    <t>Receivables</t>
  </si>
  <si>
    <t>Operating Expenses</t>
  </si>
  <si>
    <t>SOURCE: INVESTING.COM</t>
  </si>
  <si>
    <t>Depreciation &amp; Amortisation</t>
  </si>
  <si>
    <t>Historical Financial Statements - Snapshot</t>
  </si>
  <si>
    <t>SEGMENTS</t>
  </si>
  <si>
    <t>SOURCE: COMPANY REPORTS</t>
  </si>
  <si>
    <t>UK Sports</t>
  </si>
  <si>
    <t>Metric</t>
  </si>
  <si>
    <t>FY2025</t>
  </si>
  <si>
    <t>FY2026</t>
  </si>
  <si>
    <t>Revenue</t>
  </si>
  <si>
    <t>Cost of sales</t>
  </si>
  <si>
    <t>Gross margin %</t>
  </si>
  <si>
    <t>Profit from trading</t>
  </si>
  <si>
    <t>Operating profit</t>
  </si>
  <si>
    <t>Store numbers</t>
  </si>
  <si>
    <t>Premium Lifestyle</t>
  </si>
  <si>
    <t>International</t>
  </si>
  <si>
    <t>Operating (loss)/profit</t>
  </si>
  <si>
    <t>Property</t>
  </si>
  <si>
    <t>Financial Services</t>
  </si>
  <si>
    <t>Impairment losses on credit receivables</t>
  </si>
  <si>
    <t>FY2024</t>
  </si>
  <si>
    <t>All figures £m except percentages</t>
  </si>
  <si>
    <t>Segment Analysis</t>
  </si>
  <si>
    <t>CAGR</t>
  </si>
  <si>
    <t>Segment Credit Profile</t>
  </si>
  <si>
    <t>Segment</t>
  </si>
  <si>
    <t>FY26</t>
  </si>
  <si>
    <t>2024–26</t>
  </si>
  <si>
    <t>Revenue CAGR</t>
  </si>
  <si>
    <t>Assessment</t>
  </si>
  <si>
    <t>FOR TEASER PAGE</t>
  </si>
  <si>
    <t>Gross margin</t>
  </si>
  <si>
    <t>Significant earnings and profitability deterioration</t>
  </si>
  <si>
    <t>UK Sports remains the core earnings contributor, with improving trading and operating profitability despite revenue contraction.</t>
  </si>
  <si>
    <t>International has become a major growth driver, increasing its revenue contribution from 18.7% to 30.1%, but FY26 operating losses represent a key credit risk.</t>
  </si>
  <si>
    <t>Financial Services has experienced significant earnings deterioration alongside higher credit receivable impairments, while Premium Lifestyle shows weaker revenue but relatively resilient profitability.</t>
  </si>
  <si>
    <t>Revenue Mix</t>
  </si>
  <si>
    <t>Total</t>
  </si>
  <si>
    <t>2024 Mix</t>
  </si>
  <si>
    <t>2026 Mix</t>
  </si>
  <si>
    <t>Year</t>
  </si>
  <si>
    <t>CAPITAL STRUCTURE</t>
  </si>
  <si>
    <t>FY25</t>
  </si>
  <si>
    <t>Cash &amp; cash equivalents</t>
  </si>
  <si>
    <t>Bank &amp; other loans</t>
  </si>
  <si>
    <t>Securitisation</t>
  </si>
  <si>
    <t>Lease liabilities</t>
  </si>
  <si>
    <t>Total debt incl. leases</t>
  </si>
  <si>
    <t>Net debt</t>
  </si>
  <si>
    <t>Net debt excl. securitisation</t>
  </si>
  <si>
    <t>Net assets / Equity</t>
  </si>
  <si>
    <t>Facility</t>
  </si>
  <si>
    <t>Pricing</t>
  </si>
  <si>
    <t>Security</t>
  </si>
  <si>
    <t>Term Loan + RCF</t>
  </si>
  <si>
    <t>1.75% + relevant interbank rate</t>
  </si>
  <si>
    <t>2.4% + SONIA</t>
  </si>
  <si>
    <t>DEBT MATURITY</t>
  </si>
  <si>
    <t>£m</t>
  </si>
  <si>
    <t>&lt;1 year</t>
  </si>
  <si>
    <t>1–2 years</t>
  </si>
  <si>
    <t>2–5 years</t>
  </si>
  <si>
    <t>&gt;5 years</t>
  </si>
  <si>
    <t>Bank loan principal</t>
  </si>
  <si>
    <t>Bank loan interest</t>
  </si>
  <si>
    <t>IFRS 16 lease liabilities</t>
  </si>
  <si>
    <t>Type / Purpose</t>
  </si>
  <si>
    <t>Committed Limit</t>
  </si>
  <si>
    <t>FY26 Drawn</t>
  </si>
  <si>
    <t>Maturity / Availability</t>
  </si>
  <si>
    <t>Corporate funding / general liquidity</t>
  </si>
  <si>
    <t>Not specifically disclosed</t>
  </si>
  <si>
    <t>Securitisation Facility</t>
  </si>
  <si>
    <t>Funding of consumer-credit receivables</t>
  </si>
  <si>
    <t>New drawings available until Dec-26</t>
  </si>
  <si>
    <t>Secured against eligible consumer-credit receivables</t>
  </si>
  <si>
    <t>Total contractual cash outflow</t>
  </si>
  <si>
    <t>Borrowings</t>
  </si>
  <si>
    <t>Securitisation (incl in borrowings)</t>
  </si>
  <si>
    <t>Credit Metrics</t>
  </si>
  <si>
    <t>Net Debt / EBITDA</t>
  </si>
  <si>
    <t>Net Debt excl. Securitisation / EBITDA</t>
  </si>
  <si>
    <t>EBIT / Interest Expense, Total</t>
  </si>
  <si>
    <t>Cash Flow from Operations / Total Debt</t>
  </si>
  <si>
    <t>Levered Free Cash Flow / Total Debt</t>
  </si>
  <si>
    <t>Frasers Group states that it operates within its banking facilities and covenants. The FY26 Annual Report identifies net debt/EBITDA and interest cover as the financial covenants but does not disclose the numerical thresholds.</t>
  </si>
  <si>
    <t>Borrowings / EBITDA</t>
  </si>
  <si>
    <t>EBITDA / Net Interest Expenses</t>
  </si>
  <si>
    <t>FOR THE TEASER</t>
  </si>
  <si>
    <t>Capital structure</t>
  </si>
  <si>
    <t>Cash</t>
  </si>
  <si>
    <t>Reported Net Debt</t>
  </si>
  <si>
    <t>EBITDA / Net Interest Expense</t>
  </si>
  <si>
    <t>Funding structure</t>
  </si>
  <si>
    <t>Commitment</t>
  </si>
  <si>
    <t>Drawn</t>
  </si>
  <si>
    <t>£1.56bn</t>
  </si>
  <si>
    <t>£130m</t>
  </si>
  <si>
    <t>£94m</t>
  </si>
  <si>
    <t>Dec-26 drawing availability</t>
  </si>
  <si>
    <t>JD Sports Fashion</t>
  </si>
  <si>
    <t>UK-listed international sports and fashion retailer with a large store and omnichannel footprint, exposure to branded sportswear, inventory and discretionary consumer spending. Its operating model and consumer exposure make it the closest direct comparable to Frasers.</t>
  </si>
  <si>
    <t>Marks &amp; Spencer</t>
  </si>
  <si>
    <t>Large UK-listed multi-category retailer with significant physical-store and omnichannel operations. Useful for benchmarking UK consumer demand, retail margins, working capital, leases and cash generation.</t>
  </si>
  <si>
    <t>Next</t>
  </si>
  <si>
    <t>UK-listed fashion and omnichannel retailer with exposure to apparel, online retail, stores, inventory and discretionary consumer spending. Useful for comparing fashion-retail profitability and cash generation.</t>
  </si>
  <si>
    <t>Next PLC</t>
  </si>
  <si>
    <t>Comparable Companies</t>
  </si>
  <si>
    <t>Frasers</t>
  </si>
  <si>
    <t>JD Sports</t>
  </si>
  <si>
    <t>EBITDA Margin</t>
  </si>
  <si>
    <t>Net Debt</t>
  </si>
  <si>
    <t xml:space="preserve">PEER ANALYSIS </t>
  </si>
  <si>
    <t xml:space="preserve">Revenue </t>
  </si>
  <si>
    <t>Net interest expense</t>
  </si>
  <si>
    <t>Millions of GBP</t>
  </si>
  <si>
    <t>Its debt-servicing capacity is comfortable, but its higher leverage reduces balance-sheet flexibility versus lower-leveraged peers.</t>
  </si>
  <si>
    <t xml:space="preserve">Frasers has the lowest revenue among the selected peer set but strong operating profitability. </t>
  </si>
  <si>
    <t>Positive for Credit</t>
  </si>
  <si>
    <t>Negative for Credit</t>
  </si>
  <si>
    <t>Sportswear demand resilience: Continued demand for sportswear supports Frasers’ core UK Sports revenue and cash generation.</t>
  </si>
  <si>
    <t>International retail expansion: Growing sports retail markets outside the UK provide revenue diversification and additional earnings capacity.</t>
  </si>
  <si>
    <t>Supplier disintermediation: Global brands increasingly selling directly to consumers could weaken Frasers’ product access and bargaining position.</t>
  </si>
  <si>
    <t>UK retail demand is weakening: September 2026 UK retailers reported their sharpest sales decline since April amid weak consumer sentiment.</t>
  </si>
  <si>
    <t>Retail cost pressures remain elevated: energy, employment and other input costs are rising, creating margin pressure for retailers. </t>
  </si>
  <si>
    <t>DRIVERS</t>
  </si>
  <si>
    <t xml:space="preserve">Stronger product and brand mix (value &amp; premium brands) is supporting gross-margin resilience and cash generation. </t>
  </si>
  <si>
    <t>Recovery in Premium/Luxury demand could improve earnings diversification and reduce pressure on group profitability.</t>
  </si>
  <si>
    <t>Acquisition/integration risk could create additional cash requirements before acquired businesses contribute earnings.</t>
  </si>
  <si>
    <t>INDUSTRY OVERVIEW</t>
  </si>
  <si>
    <t>Weak consumer demand has increased inventory levels across apparel and sportswear, leading to higher discounting and margin pressure.</t>
  </si>
  <si>
    <t>Rising wages, business rates, energy and logistics costs continue to put pressure on retail margins.</t>
  </si>
  <si>
    <t>Major sportswear brands are increasing direct-to-consumer sales</t>
  </si>
  <si>
    <t>KEY RISKS &amp; MITIGANTS</t>
  </si>
  <si>
    <t>High underlying free cash flow generation from core operations, combined with substantial tangible asset collateral across owned real estate.</t>
  </si>
  <si>
    <t>A vast stores network creates heavy, inflexible IFRS 16 lease liabilities, acting as rigid fixed financial obligations.</t>
  </si>
  <si>
    <t>closure or renegotiation of underperforming stores can reduce the burden.</t>
  </si>
  <si>
    <t>Rapidly expanding Frasers Plus (buy-now-pay-later) increases exposure to customer defaults and bad debt.</t>
  </si>
  <si>
    <t>Customer transaction data and credit controls support underwriting and risk management.</t>
  </si>
  <si>
    <t>Slow-moving or seasonal inventory can require discounting, reducing margins and tying up working capital.</t>
  </si>
  <si>
    <t>Sports Direct's high-volume model and focus on staple sportswear reduces exposure to severe fashion obsolescence</t>
  </si>
  <si>
    <t>Heavy exposure to the UK consumer economy makes earnings vulnerable to a domestic slowdown.</t>
  </si>
  <si>
    <t>International expansion across Europe and other markets is diversifying the Group's revenue base.</t>
  </si>
  <si>
    <t>FCF (CFO − CapEx)</t>
  </si>
  <si>
    <t>Base</t>
  </si>
  <si>
    <t>Downside</t>
  </si>
  <si>
    <t>Severe Downside</t>
  </si>
  <si>
    <t>Liquidity</t>
  </si>
  <si>
    <t>Base (2026)</t>
  </si>
  <si>
    <t>Net Interest Expense</t>
  </si>
  <si>
    <t>change</t>
  </si>
  <si>
    <t>Revenue and net debt held constant to isolate EBITDA sensitivity</t>
  </si>
  <si>
    <t>undrawn bank facilities</t>
  </si>
  <si>
    <t>Severe downside leverage reaches 2.52x, remaining below Frasers' stated 3.0x net debt / Reported EBITDA level.</t>
  </si>
  <si>
    <t>1.51x net leverage and 6.13x interest coverage indicate substantial debt-service capacity.</t>
  </si>
  <si>
    <t>A 20% EBITDA decline increases leverage to 1.89x and reduces interest coverage to 4.90x, but debt-service capacity remains supported.</t>
  </si>
  <si>
    <t>A 40% EBITDA decline increases leverage to 2.52x and reduces interest coverage to 3.68x, materially reducing financial flexibility.</t>
  </si>
  <si>
    <t>Assumptions</t>
  </si>
  <si>
    <t>Corporate Bank Exposure</t>
  </si>
  <si>
    <t>Total borrowings</t>
  </si>
  <si>
    <t>Less: securitization</t>
  </si>
  <si>
    <t>Corporate bank exposure</t>
  </si>
  <si>
    <t>Asset</t>
  </si>
  <si>
    <t>Carrying Value</t>
  </si>
  <si>
    <t>Recovery %</t>
  </si>
  <si>
    <t>Recoverable Value</t>
  </si>
  <si>
    <t>PP&amp;E</t>
  </si>
  <si>
    <t>Investment properties</t>
  </si>
  <si>
    <t>Long-term financial assets</t>
  </si>
  <si>
    <t>Investments in associates</t>
  </si>
  <si>
    <t>Intangibles</t>
  </si>
  <si>
    <t>Derivatives</t>
  </si>
  <si>
    <t>Recovery analysis</t>
  </si>
  <si>
    <t>Receivables : 60%: some collection risk and distress discounts.</t>
  </si>
  <si>
    <t>Inventory : 40%: distressed liquidation usually requires markdowns.</t>
  </si>
  <si>
    <t>PP&amp;E : 55%: assets have value, but forced-sale prices can be below book value.</t>
  </si>
  <si>
    <t>Investment property : 60%: relatively tangible, but distressed sale may require a discount.</t>
  </si>
  <si>
    <t>Financial assets : 40%: valuation/liquidity uncertainty.</t>
  </si>
  <si>
    <t>Associates : 25%: minority/investment interests may be difficult to monetise quickly.</t>
  </si>
  <si>
    <t>Intangibles : 0%: conservative assumption in liquidation.</t>
  </si>
  <si>
    <t>Derivatives : 50%: valuation and close-out uncertainty.</t>
  </si>
  <si>
    <t>Recoverable asset value</t>
  </si>
  <si>
    <t>Other liabilities</t>
  </si>
  <si>
    <t>Residual available to corporate bank lenders</t>
  </si>
  <si>
    <t>Recovery rate</t>
  </si>
  <si>
    <t>Recovery appears supported by a sizeable and diversified asset base, but remains sensitive to asset haircuts and creditor ranking given the lack of a disclosed specific collateral package for the corporate term loan/RCF.</t>
  </si>
  <si>
    <t>Liquidity held constant before any additional cash burn or facility drawings under stress.</t>
  </si>
  <si>
    <t>Scenario Analysis - EBITDA Stress Test</t>
  </si>
  <si>
    <t>UK and European consumers are increasingly favouring value or premium offerings, creating pressure on mid-market discretionary retail.</t>
  </si>
  <si>
    <t>Acquisitions and strategic investments can consume liquidity and increase leverage.</t>
  </si>
  <si>
    <t>Frasers Group PLC</t>
  </si>
  <si>
    <t>Frasers Group is a multi-brand sports, premium and international retail group, generating revenue primarily through physical and online retail sales, with additional contributions from Property and Financial Services. UK Sports is the core earnings engine, while International is the key growth driver. The business is working-capital and CapEx intensive due to its large store network and inventory requirements.</t>
  </si>
  <si>
    <t>Thesis:</t>
  </si>
  <si>
    <t>FY24</t>
  </si>
  <si>
    <t>Revenue Growth</t>
  </si>
  <si>
    <t>Financial Performance</t>
  </si>
  <si>
    <t>Core earnings base, but sustained revenue decline raises concern over  demand.</t>
  </si>
  <si>
    <t>Contd revenue decline shows weakness in the segment despite strong margin.</t>
  </si>
  <si>
    <t>Strong revenue growth but stable margins, op loss in 2026</t>
  </si>
  <si>
    <t>Small revenue contributor, limited impact</t>
  </si>
  <si>
    <t>£3.30bn</t>
  </si>
  <si>
    <t>Purpose</t>
  </si>
  <si>
    <t>Corporate / general liquidity</t>
  </si>
  <si>
    <t>Consumer-credit funding</t>
  </si>
  <si>
    <t>Liquidity: £1.74bn undrawn bank facilities at FY26, in addition to £389m cash.</t>
  </si>
  <si>
    <t>Maturity/Availability</t>
  </si>
  <si>
    <t>M&amp;S</t>
  </si>
  <si>
    <t>Closest peer due to similar sports-fashion retail and international/omnichannel exposure.</t>
  </si>
  <si>
    <t>EBITDA/Net Interest Exp</t>
  </si>
  <si>
    <t>Residual avail to corporate bank lenders</t>
  </si>
  <si>
    <t>1. Consumer polarisation is increasing pressure on discretionary retail demand because European consumers are increasingly favouring value or premium offerings</t>
  </si>
  <si>
    <t>2. Rising wages, interest rates, energy and logistics costs continue to put pressure on retail margins.</t>
  </si>
  <si>
    <t>4. Major sportswear brands are increasing direct-to-consumer sales</t>
  </si>
  <si>
    <t>1. Sportswear remains a relatively resilient part of discretionary retail.</t>
  </si>
  <si>
    <t>2. International expansion reduces reliance on the UK market.</t>
  </si>
  <si>
    <t>3. Broader brand/product mix can support margins across market cycles.</t>
  </si>
  <si>
    <t>1. Weak UK demand could pressure the Group’s core earnings base.</t>
  </si>
  <si>
    <t>2. Cost inflation can reduce margins and cash generation.</t>
  </si>
  <si>
    <t>3. DTC expansion could weaken supplier relationships and product access.</t>
  </si>
  <si>
    <t>4. Acquisitions increase execution risk and upfront cash requirements.</t>
  </si>
  <si>
    <t>Covenants: The FY26 Annual Report identifies net debt/EBITDA and interest cover as the financial covenants but does not disclose the numerical thresholds. the Group monitors Net Debt / Reported EBITDA (pre-IFRS 16) and maintains it below 3.0x. Detailed contractual covenant thresholds are not disclosed in FY26.</t>
  </si>
  <si>
    <t xml:space="preserve">Frasers has a mixed credit profile, the gap between EBITDA growth and cash generation remains a key concern. Most segments show revenue or profitability pressure, while International growth carries acquisition and execution risk. Leverage is higher than peers, although current liquidity provides a meaningful buffer and the stress case provide some downside capacity. Credit quality ultimately depends on cash conversion, capital discipline and resilience to weak discretionary retail conditions. </t>
  </si>
  <si>
    <t>3. Weak consumer demand has increased inventory levels across apparel, leading to higher discounting and margin pressure.</t>
  </si>
  <si>
    <t>Useful benchmark for broader UK retail</t>
  </si>
  <si>
    <t>Useful benchmark for fashion retail, omnichannel operations</t>
  </si>
  <si>
    <t>Sensitivity Analysis - EBITDA Stress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</si>
</sst>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7" formatCode="&quot;₹&quot;#,##0.00_);\(&quot;₹&quot;#,##0.00\);\-"/>
    <numFmt numFmtId="168" formatCode="0.0%"/>
    <numFmt numFmtId="178" formatCode="0.00&quot;x&quot;"/>
    <numFmt numFmtId="181" formatCode="&quot;£ &quot;0&quot; mn&quot;"/>
  </numFmts>
  <fonts count="24" x14ac:knownFonts="1">
    <font>
      <sz val="11"/>
      <color theme="1"/>
      <name val="Calibri"/>
      <family val="2"/>
    </font>
    <font>
      <sz val="11"/>
      <color theme="1"/>
      <name val="Calibri"/>
      <family val="2"/>
    </font>
    <font>
      <b/>
      <sz val="11"/>
      <color theme="1"/>
      <name val="Calibri"/>
      <family val="2"/>
    </font>
    <font>
      <sz val="11"/>
      <color theme="0"/>
      <name val="Calibri"/>
      <family val="2"/>
    </font>
    <font>
      <u/>
      <sz val="11"/>
      <color theme="10"/>
      <name val="Calibri"/>
      <family val="2"/>
    </font>
    <font>
      <sz val="12"/>
      <color rgb="FF5B616E"/>
      <name val="Helvetica"/>
      <family val="2"/>
    </font>
    <font>
      <i/>
      <sz val="11"/>
      <color theme="1"/>
      <name val="Calibri"/>
      <family val="2"/>
    </font>
    <font>
      <sz val="11"/>
      <color theme="0"/>
      <name val="Calibri"/>
      <family val="2"/>
      <scheme val="minor"/>
    </font>
    <font>
      <sz val="11"/>
      <color theme="1"/>
      <name val="Calibri"/>
      <family val="2"/>
      <scheme val="minor"/>
    </font>
    <font>
      <sz val="11"/>
      <color theme="0"/>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sz val="11"/>
      <color rgb="FF232526"/>
      <name val="Calibri"/>
      <family val="2"/>
      <scheme val="minor"/>
    </font>
    <font>
      <sz val="11"/>
      <color rgb="FF232526"/>
      <name val="Calibri"/>
      <family val="2"/>
      <scheme val="minor"/>
    </font>
    <font>
      <u/>
      <sz val="11"/>
      <color theme="10"/>
      <name val="Calibri"/>
      <family val="2"/>
      <scheme val="minor"/>
    </font>
    <font>
      <sz val="11"/>
      <color rgb="FF5B616E"/>
      <name val="Calibri"/>
      <family val="2"/>
      <scheme val="minor"/>
    </font>
    <font>
      <i/>
      <sz val="11"/>
      <color theme="0" tint="-0.499984740745262"/>
      <name val="Calibri"/>
      <family val="2"/>
      <scheme val="minor"/>
    </font>
    <font>
      <i/>
      <sz val="10"/>
      <color theme="1"/>
      <name val="Calibri"/>
      <family val="2"/>
    </font>
    <font>
      <sz val="11"/>
      <name val="Calibri"/>
      <family val="2"/>
    </font>
    <font>
      <sz val="11"/>
      <color rgb="FF0432FF"/>
      <name val="Calibri"/>
      <family val="2"/>
    </font>
    <font>
      <i/>
      <sz val="8"/>
      <color theme="1"/>
      <name val="Calibri"/>
      <family val="2"/>
    </font>
    <font>
      <i/>
      <sz val="11"/>
      <color theme="0"/>
      <name val="Calibri"/>
      <family val="2"/>
    </font>
    <font>
      <sz val="8"/>
      <color theme="1"/>
      <name val="Calibri"/>
      <family val="2"/>
    </font>
  </fonts>
  <fills count="4">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s>
  <borders count="4">
    <border>
      <left/>
      <right/>
      <top/>
      <bottom/>
      <diagonal/>
    </border>
    <border>
      <left/>
      <right/>
      <top style="thin">
        <color indexed="64"/>
      </top>
      <bottom style="thin">
        <color indexed="64"/>
      </bottom>
      <diagonal/>
    </border>
    <border>
      <left/>
      <right/>
      <top/>
      <bottom style="thin">
        <color auto="1"/>
      </bottom>
      <diagonal/>
    </border>
    <border>
      <left/>
      <right/>
      <top style="thin">
        <color auto="1"/>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cellStyleXfs>
  <cellXfs count="104">
    <xf numFmtId="0" fontId="0" fillId="0" borderId="0" xfId="0"/>
    <xf numFmtId="10" fontId="0" fillId="0" borderId="0" xfId="0" applyNumberFormat="1"/>
    <xf numFmtId="4" fontId="0" fillId="0" borderId="0" xfId="0" applyNumberFormat="1"/>
    <xf numFmtId="3" fontId="0" fillId="0" borderId="0" xfId="0" applyNumberFormat="1"/>
    <xf numFmtId="9" fontId="0" fillId="0" borderId="0" xfId="0" applyNumberFormat="1"/>
    <xf numFmtId="0" fontId="0" fillId="0" borderId="0" xfId="0" applyAlignment="1">
      <alignment horizontal="center"/>
    </xf>
    <xf numFmtId="0" fontId="3" fillId="2" borderId="0" xfId="0" applyFont="1" applyFill="1" applyAlignment="1">
      <alignment horizontal="center"/>
    </xf>
    <xf numFmtId="0" fontId="5" fillId="0" borderId="0" xfId="0" applyFont="1"/>
    <xf numFmtId="0" fontId="3" fillId="2" borderId="0" xfId="0" applyFont="1" applyFill="1" applyAlignment="1">
      <alignment horizontal="center"/>
    </xf>
    <xf numFmtId="0" fontId="3" fillId="0" borderId="0" xfId="0" applyFont="1"/>
    <xf numFmtId="0" fontId="0" fillId="0" borderId="0" xfId="0" applyAlignment="1">
      <alignment horizontal="right"/>
    </xf>
    <xf numFmtId="0" fontId="0" fillId="0" borderId="1" xfId="0" applyBorder="1"/>
    <xf numFmtId="0" fontId="2" fillId="0" borderId="0" xfId="0" applyFont="1"/>
    <xf numFmtId="0" fontId="2" fillId="0" borderId="1" xfId="0" applyFont="1" applyBorder="1"/>
    <xf numFmtId="0" fontId="3" fillId="2" borderId="0" xfId="0" applyFont="1" applyFill="1"/>
    <xf numFmtId="0" fontId="7" fillId="2" borderId="0" xfId="0" applyFont="1" applyFill="1" applyAlignment="1"/>
    <xf numFmtId="0" fontId="8" fillId="0" borderId="0" xfId="0" applyFont="1"/>
    <xf numFmtId="0" fontId="7" fillId="2" borderId="0" xfId="0" applyFont="1" applyFill="1"/>
    <xf numFmtId="0" fontId="9" fillId="2" borderId="0" xfId="0" applyFont="1" applyFill="1"/>
    <xf numFmtId="0" fontId="7" fillId="0" borderId="0" xfId="0" applyFont="1"/>
    <xf numFmtId="17" fontId="7" fillId="0" borderId="0" xfId="0" applyNumberFormat="1" applyFont="1"/>
    <xf numFmtId="0" fontId="10" fillId="3" borderId="0" xfId="0" applyFont="1" applyFill="1"/>
    <xf numFmtId="0" fontId="8" fillId="3" borderId="0" xfId="0" applyFont="1" applyFill="1"/>
    <xf numFmtId="167" fontId="8" fillId="0" borderId="0" xfId="0" applyNumberFormat="1" applyFont="1" applyAlignment="1">
      <alignment horizontal="right"/>
    </xf>
    <xf numFmtId="0" fontId="8" fillId="0" borderId="0" xfId="0" applyFont="1" applyAlignment="1"/>
    <xf numFmtId="4" fontId="8" fillId="0" borderId="0" xfId="0" applyNumberFormat="1" applyFont="1" applyAlignment="1">
      <alignment horizontal="right"/>
    </xf>
    <xf numFmtId="0" fontId="11" fillId="0" borderId="0" xfId="0" applyFont="1" applyAlignment="1"/>
    <xf numFmtId="168" fontId="11" fillId="0" borderId="0" xfId="2" applyNumberFormat="1" applyFont="1" applyAlignment="1">
      <alignment horizontal="right"/>
    </xf>
    <xf numFmtId="0" fontId="8" fillId="0" borderId="1" xfId="0" applyFont="1" applyBorder="1" applyAlignment="1"/>
    <xf numFmtId="4" fontId="8" fillId="0" borderId="0" xfId="0" applyNumberFormat="1" applyFont="1"/>
    <xf numFmtId="0" fontId="12" fillId="0" borderId="0" xfId="0" applyFont="1" applyAlignment="1"/>
    <xf numFmtId="0" fontId="10" fillId="0" borderId="0" xfId="0" applyFont="1"/>
    <xf numFmtId="0" fontId="10" fillId="0" borderId="0" xfId="0" applyFont="1" applyAlignment="1"/>
    <xf numFmtId="43" fontId="8" fillId="0" borderId="0" xfId="1" applyFont="1" applyAlignment="1">
      <alignment horizontal="right"/>
    </xf>
    <xf numFmtId="43" fontId="8" fillId="0" borderId="1" xfId="1" applyFont="1" applyBorder="1" applyAlignment="1">
      <alignment horizontal="right"/>
    </xf>
    <xf numFmtId="0" fontId="7" fillId="2" borderId="0" xfId="0" applyFont="1" applyFill="1" applyAlignment="1">
      <alignment horizontal="center"/>
    </xf>
    <xf numFmtId="0" fontId="8" fillId="0" borderId="0" xfId="0" applyFont="1" applyBorder="1" applyAlignment="1"/>
    <xf numFmtId="0" fontId="13" fillId="0" borderId="0" xfId="0" applyFont="1"/>
    <xf numFmtId="0" fontId="14" fillId="0" borderId="0" xfId="0" applyFont="1"/>
    <xf numFmtId="16" fontId="13" fillId="0" borderId="0" xfId="0" applyNumberFormat="1" applyFont="1"/>
    <xf numFmtId="0" fontId="15" fillId="0" borderId="0" xfId="3" applyFont="1"/>
    <xf numFmtId="0" fontId="12" fillId="0" borderId="0" xfId="0" applyFont="1"/>
    <xf numFmtId="16" fontId="8" fillId="0" borderId="0" xfId="0" applyNumberFormat="1" applyFont="1" applyAlignment="1"/>
    <xf numFmtId="0" fontId="8" fillId="0" borderId="0" xfId="0" applyFont="1"/>
    <xf numFmtId="4" fontId="12" fillId="0" borderId="0" xfId="0" applyNumberFormat="1" applyFont="1"/>
    <xf numFmtId="3" fontId="12" fillId="0" borderId="0" xfId="0" applyNumberFormat="1" applyFont="1"/>
    <xf numFmtId="10" fontId="12" fillId="0" borderId="0" xfId="0" applyNumberFormat="1" applyFont="1"/>
    <xf numFmtId="9" fontId="12" fillId="0" borderId="0" xfId="0" applyNumberFormat="1" applyFont="1"/>
    <xf numFmtId="10" fontId="8" fillId="0" borderId="0" xfId="0" applyNumberFormat="1" applyFont="1"/>
    <xf numFmtId="3" fontId="8" fillId="0" borderId="0" xfId="0" applyNumberFormat="1" applyFont="1"/>
    <xf numFmtId="0" fontId="16" fillId="0" borderId="0" xfId="0" applyFont="1"/>
    <xf numFmtId="15" fontId="8" fillId="0" borderId="0" xfId="0" applyNumberFormat="1" applyFont="1"/>
    <xf numFmtId="15" fontId="10" fillId="0" borderId="0" xfId="0" applyNumberFormat="1" applyFont="1"/>
    <xf numFmtId="0" fontId="0" fillId="2" borderId="0" xfId="0" applyFill="1"/>
    <xf numFmtId="43" fontId="10" fillId="0" borderId="0" xfId="1" applyFont="1"/>
    <xf numFmtId="43" fontId="8" fillId="0" borderId="0" xfId="1" applyFont="1"/>
    <xf numFmtId="43" fontId="10" fillId="0" borderId="0" xfId="1" applyFont="1" applyAlignment="1">
      <alignment horizontal="right"/>
    </xf>
    <xf numFmtId="43" fontId="8" fillId="0" borderId="0" xfId="1" applyFont="1" applyBorder="1" applyAlignment="1">
      <alignment horizontal="right"/>
    </xf>
    <xf numFmtId="43" fontId="0" fillId="0" borderId="0" xfId="1" applyFont="1"/>
    <xf numFmtId="9" fontId="0" fillId="0" borderId="0" xfId="2" applyFont="1"/>
    <xf numFmtId="168" fontId="0" fillId="0" borderId="0" xfId="2" applyNumberFormat="1" applyFont="1"/>
    <xf numFmtId="0" fontId="3" fillId="2" borderId="0" xfId="0" applyFont="1" applyFill="1" applyAlignment="1">
      <alignment horizontal="right"/>
    </xf>
    <xf numFmtId="43" fontId="0" fillId="0" borderId="0" xfId="0" applyNumberFormat="1"/>
    <xf numFmtId="168" fontId="0" fillId="0" borderId="0" xfId="0" applyNumberFormat="1"/>
    <xf numFmtId="0" fontId="0" fillId="0" borderId="0" xfId="0" applyAlignment="1">
      <alignment horizontal="left"/>
    </xf>
    <xf numFmtId="2" fontId="8" fillId="0" borderId="0" xfId="0" applyNumberFormat="1" applyFont="1" applyAlignment="1">
      <alignment horizontal="right"/>
    </xf>
    <xf numFmtId="17" fontId="8" fillId="0" borderId="0" xfId="0" applyNumberFormat="1" applyFont="1"/>
    <xf numFmtId="0" fontId="7" fillId="2" borderId="0" xfId="1" applyNumberFormat="1" applyFont="1" applyFill="1"/>
    <xf numFmtId="0" fontId="8" fillId="2" borderId="0" xfId="0" applyFont="1" applyFill="1"/>
    <xf numFmtId="43" fontId="8" fillId="0" borderId="0" xfId="0" applyNumberFormat="1" applyFont="1"/>
    <xf numFmtId="178" fontId="8" fillId="0" borderId="0" xfId="0" applyNumberFormat="1" applyFont="1"/>
    <xf numFmtId="0" fontId="17" fillId="0" borderId="0" xfId="0" applyFont="1"/>
    <xf numFmtId="0" fontId="0" fillId="0" borderId="0" xfId="0" applyAlignment="1">
      <alignment wrapText="1"/>
    </xf>
    <xf numFmtId="0" fontId="0" fillId="0" borderId="0" xfId="0" applyAlignment="1">
      <alignment horizontal="left" wrapText="1"/>
    </xf>
    <xf numFmtId="0" fontId="0" fillId="0" borderId="0" xfId="0" applyBorder="1"/>
    <xf numFmtId="0" fontId="0" fillId="0" borderId="0" xfId="0" applyBorder="1" applyAlignment="1">
      <alignment horizontal="left" wrapText="1"/>
    </xf>
    <xf numFmtId="0" fontId="0" fillId="0" borderId="2" xfId="0" applyBorder="1"/>
    <xf numFmtId="0" fontId="0" fillId="0" borderId="2" xfId="0" applyBorder="1" applyAlignment="1">
      <alignment horizontal="left" wrapText="1"/>
    </xf>
    <xf numFmtId="0" fontId="0" fillId="0" borderId="3" xfId="0" applyBorder="1"/>
    <xf numFmtId="0" fontId="0" fillId="0" borderId="3" xfId="0" applyBorder="1" applyAlignment="1">
      <alignment horizontal="left" wrapText="1"/>
    </xf>
    <xf numFmtId="0" fontId="0" fillId="0" borderId="3" xfId="0" applyBorder="1" applyAlignment="1">
      <alignment horizontal="center" wrapText="1"/>
    </xf>
    <xf numFmtId="0" fontId="0" fillId="0" borderId="2" xfId="0" applyBorder="1" applyAlignment="1">
      <alignment horizontal="center" wrapText="1"/>
    </xf>
    <xf numFmtId="43" fontId="10" fillId="0" borderId="0" xfId="0" applyNumberFormat="1" applyFont="1"/>
    <xf numFmtId="0" fontId="6" fillId="0" borderId="0" xfId="0" applyFont="1"/>
    <xf numFmtId="0" fontId="18" fillId="0" borderId="0" xfId="0" applyFont="1"/>
    <xf numFmtId="43" fontId="18" fillId="0" borderId="0" xfId="0" applyNumberFormat="1" applyFont="1"/>
    <xf numFmtId="9" fontId="18" fillId="0" borderId="0" xfId="0" applyNumberFormat="1" applyFont="1"/>
    <xf numFmtId="0" fontId="19" fillId="0" borderId="0" xfId="0" applyFont="1" applyFill="1"/>
    <xf numFmtId="43" fontId="19" fillId="0" borderId="0" xfId="0" applyNumberFormat="1" applyFont="1" applyFill="1"/>
    <xf numFmtId="9" fontId="8" fillId="0" borderId="0" xfId="0" applyNumberFormat="1" applyFont="1"/>
    <xf numFmtId="9" fontId="20" fillId="0" borderId="0" xfId="2" applyFont="1"/>
    <xf numFmtId="0" fontId="21" fillId="0" borderId="0" xfId="0" applyFont="1"/>
    <xf numFmtId="9" fontId="2" fillId="0" borderId="1" xfId="2" applyNumberFormat="1" applyFont="1" applyBorder="1"/>
    <xf numFmtId="0" fontId="22" fillId="2" borderId="0" xfId="0" applyFont="1" applyFill="1"/>
    <xf numFmtId="0" fontId="23" fillId="0" borderId="0" xfId="0" applyFont="1" applyAlignment="1">
      <alignment horizontal="left"/>
    </xf>
    <xf numFmtId="0" fontId="23" fillId="0" borderId="0" xfId="0" applyFont="1" applyAlignment="1">
      <alignment horizontal="left"/>
    </xf>
    <xf numFmtId="17" fontId="0" fillId="0" borderId="0" xfId="0" applyNumberFormat="1" applyAlignment="1">
      <alignment horizontal="left"/>
    </xf>
    <xf numFmtId="0" fontId="3" fillId="2" borderId="0" xfId="0" applyFont="1" applyFill="1" applyAlignment="1">
      <alignment horizontal="left"/>
    </xf>
    <xf numFmtId="0" fontId="0" fillId="0" borderId="2" xfId="0" applyBorder="1" applyAlignment="1"/>
    <xf numFmtId="0" fontId="0" fillId="0" borderId="1" xfId="0" applyBorder="1" applyAlignment="1"/>
    <xf numFmtId="0" fontId="3" fillId="2" borderId="0" xfId="0" applyFont="1" applyFill="1" applyAlignment="1">
      <alignment horizontal="left"/>
    </xf>
    <xf numFmtId="9" fontId="6" fillId="0" borderId="0" xfId="2" applyFont="1"/>
    <xf numFmtId="181" fontId="0" fillId="0" borderId="0" xfId="0" applyNumberFormat="1"/>
    <xf numFmtId="0" fontId="19" fillId="0" borderId="0" xfId="0" applyFont="1" applyAlignment="1">
      <alignment horizontal="left" wrapText="1"/>
    </xf>
  </cellXfs>
  <cellStyles count="4">
    <cellStyle name="Comma" xfId="1" builtinId="3"/>
    <cellStyle name="Hyperlink" xfId="3" builtinId="8"/>
    <cellStyle name="Normal" xfId="0" builtinId="0"/>
    <cellStyle name="Per cent" xfId="2" builtinId="5"/>
  </cellStyles>
  <dxfs count="0"/>
  <tableStyles count="0" defaultTableStyle="TableStyleMedium2" defaultPivotStyle="PivotStyleLight16"/>
  <colors>
    <mruColors>
      <color rgb="FF0432FF"/>
      <color rgb="FF942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Revenue Mix: FY2024 vs FY2026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Segments!$I$23</c:f>
              <c:strCache>
                <c:ptCount val="1"/>
                <c:pt idx="0">
                  <c:v>UK Sports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Segments!$H$24:$H$25</c:f>
              <c:strCache>
                <c:ptCount val="2"/>
                <c:pt idx="0">
                  <c:v>2024 Mix</c:v>
                </c:pt>
                <c:pt idx="1">
                  <c:v>2026 Mix</c:v>
                </c:pt>
              </c:strCache>
            </c:strRef>
          </c:cat>
          <c:val>
            <c:numRef>
              <c:f>Segments!$I$24:$I$25</c:f>
              <c:numCache>
                <c:formatCode>0.0%</c:formatCode>
                <c:ptCount val="2"/>
                <c:pt idx="0">
                  <c:v>0.54709422606733127</c:v>
                </c:pt>
                <c:pt idx="1">
                  <c:v>0.48258510298728852</c:v>
                </c:pt>
              </c:numCache>
            </c:numRef>
          </c:val>
          <c:extLst>
            <c:ext xmlns:c16="http://schemas.microsoft.com/office/drawing/2014/chart" uri="{C3380CC4-5D6E-409C-BE32-E72D297353CC}">
              <c16:uniqueId val="{00000000-769C-EE48-A59C-73073DC64CDE}"/>
            </c:ext>
          </c:extLst>
        </c:ser>
        <c:ser>
          <c:idx val="1"/>
          <c:order val="1"/>
          <c:tx>
            <c:strRef>
              <c:f>Segments!$J$23</c:f>
              <c:strCache>
                <c:ptCount val="1"/>
                <c:pt idx="0">
                  <c:v>Premium Lifestyle</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Segments!$H$24:$H$25</c:f>
              <c:strCache>
                <c:ptCount val="2"/>
                <c:pt idx="0">
                  <c:v>2024 Mix</c:v>
                </c:pt>
                <c:pt idx="1">
                  <c:v>2026 Mix</c:v>
                </c:pt>
              </c:strCache>
            </c:strRef>
          </c:cat>
          <c:val>
            <c:numRef>
              <c:f>Segments!$J$24:$J$25</c:f>
              <c:numCache>
                <c:formatCode>0.0%</c:formatCode>
                <c:ptCount val="2"/>
                <c:pt idx="0">
                  <c:v>0.23129584352078239</c:v>
                </c:pt>
                <c:pt idx="1">
                  <c:v>0.18319908372293886</c:v>
                </c:pt>
              </c:numCache>
            </c:numRef>
          </c:val>
          <c:extLst>
            <c:ext xmlns:c16="http://schemas.microsoft.com/office/drawing/2014/chart" uri="{C3380CC4-5D6E-409C-BE32-E72D297353CC}">
              <c16:uniqueId val="{00000001-769C-EE48-A59C-73073DC64CDE}"/>
            </c:ext>
          </c:extLst>
        </c:ser>
        <c:ser>
          <c:idx val="2"/>
          <c:order val="2"/>
          <c:tx>
            <c:strRef>
              <c:f>Segments!$K$23</c:f>
              <c:strCache>
                <c:ptCount val="1"/>
                <c:pt idx="0">
                  <c:v>International</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Segments!$H$24:$H$25</c:f>
              <c:strCache>
                <c:ptCount val="2"/>
                <c:pt idx="0">
                  <c:v>2024 Mix</c:v>
                </c:pt>
                <c:pt idx="1">
                  <c:v>2026 Mix</c:v>
                </c:pt>
              </c:strCache>
            </c:strRef>
          </c:cat>
          <c:val>
            <c:numRef>
              <c:f>Segments!$K$24:$K$25</c:f>
              <c:numCache>
                <c:formatCode>0.0%</c:formatCode>
                <c:ptCount val="2"/>
                <c:pt idx="0">
                  <c:v>0.18706037239044573</c:v>
                </c:pt>
                <c:pt idx="1">
                  <c:v>0.30109465066937041</c:v>
                </c:pt>
              </c:numCache>
            </c:numRef>
          </c:val>
          <c:extLst>
            <c:ext xmlns:c16="http://schemas.microsoft.com/office/drawing/2014/chart" uri="{C3380CC4-5D6E-409C-BE32-E72D297353CC}">
              <c16:uniqueId val="{00000002-769C-EE48-A59C-73073DC64CDE}"/>
            </c:ext>
          </c:extLst>
        </c:ser>
        <c:ser>
          <c:idx val="3"/>
          <c:order val="3"/>
          <c:tx>
            <c:strRef>
              <c:f>Segments!$L$23</c:f>
              <c:strCache>
                <c:ptCount val="1"/>
                <c:pt idx="0">
                  <c:v>Property</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Segments!$H$24:$H$25</c:f>
              <c:strCache>
                <c:ptCount val="2"/>
                <c:pt idx="0">
                  <c:v>2024 Mix</c:v>
                </c:pt>
                <c:pt idx="1">
                  <c:v>2026 Mix</c:v>
                </c:pt>
              </c:strCache>
            </c:strRef>
          </c:cat>
          <c:val>
            <c:numRef>
              <c:f>Segments!$L$24:$L$25</c:f>
              <c:numCache>
                <c:formatCode>0.0%</c:formatCode>
                <c:ptCount val="2"/>
                <c:pt idx="0">
                  <c:v>1.3673123942072598E-2</c:v>
                </c:pt>
                <c:pt idx="1">
                  <c:v>1.8025122514504593E-2</c:v>
                </c:pt>
              </c:numCache>
            </c:numRef>
          </c:val>
          <c:extLst>
            <c:ext xmlns:c16="http://schemas.microsoft.com/office/drawing/2014/chart" uri="{C3380CC4-5D6E-409C-BE32-E72D297353CC}">
              <c16:uniqueId val="{00000003-769C-EE48-A59C-73073DC64CDE}"/>
            </c:ext>
          </c:extLst>
        </c:ser>
        <c:ser>
          <c:idx val="4"/>
          <c:order val="4"/>
          <c:tx>
            <c:strRef>
              <c:f>Segments!$M$23</c:f>
              <c:strCache>
                <c:ptCount val="1"/>
                <c:pt idx="0">
                  <c:v>Financial Services</c:v>
                </c:pt>
              </c:strCache>
            </c:strRef>
          </c:tx>
          <c:spPr>
            <a:solidFill>
              <a:schemeClr val="accent5">
                <a:lumMod val="75000"/>
              </a:schemeClr>
            </a:solidFill>
            <a:ln>
              <a:noFill/>
            </a:ln>
            <a:effectLst/>
          </c:spPr>
          <c:invertIfNegative val="0"/>
          <c:dLbls>
            <c:dLbl>
              <c:idx val="0"/>
              <c:layout>
                <c:manualLayout>
                  <c:x val="-6.4022523868212028E-2"/>
                  <c:y val="1.8671444564854516E-7"/>
                </c:manualLayout>
              </c:layout>
              <c:spPr>
                <a:noFill/>
                <a:ln>
                  <a:noFill/>
                </a:ln>
                <a:effectLst/>
              </c:spPr>
              <c:txPr>
                <a:bodyPr rot="0" spcFirstLastPara="1" vertOverflow="ellipsis" vert="horz" wrap="square" lIns="38100" tIns="19050" rIns="38100" bIns="19050" anchor="ctr" anchorCtr="1">
                  <a:noAutofit/>
                </a:bodyPr>
                <a:lstStyle/>
                <a:p>
                  <a:pPr>
                    <a:defRPr sz="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40504650024581E-2"/>
                      <c:h val="2.8360430578448816E-2"/>
                    </c:manualLayout>
                  </c15:layout>
                </c:ext>
                <c:ext xmlns:c16="http://schemas.microsoft.com/office/drawing/2014/chart" uri="{C3380CC4-5D6E-409C-BE32-E72D297353CC}">
                  <c16:uniqueId val="{00000004-769C-EE48-A59C-73073DC64CDE}"/>
                </c:ext>
              </c:extLst>
            </c:dLbl>
            <c:dLbl>
              <c:idx val="1"/>
              <c:layout>
                <c:manualLayout>
                  <c:x val="-6.6806195464794799E-2"/>
                  <c:y val="-1.748675192512396E-5"/>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9C-EE48-A59C-73073DC64C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Segments!$H$24:$H$25</c:f>
              <c:strCache>
                <c:ptCount val="2"/>
                <c:pt idx="0">
                  <c:v>2024 Mix</c:v>
                </c:pt>
                <c:pt idx="1">
                  <c:v>2026 Mix</c:v>
                </c:pt>
              </c:strCache>
            </c:strRef>
          </c:cat>
          <c:val>
            <c:numRef>
              <c:f>Segments!$M$24:$M$25</c:f>
              <c:numCache>
                <c:formatCode>0.0%</c:formatCode>
                <c:ptCount val="2"/>
                <c:pt idx="0">
                  <c:v>2.0876434079368063E-2</c:v>
                </c:pt>
                <c:pt idx="1">
                  <c:v>1.5096040105897596E-2</c:v>
                </c:pt>
              </c:numCache>
            </c:numRef>
          </c:val>
          <c:extLst>
            <c:ext xmlns:c16="http://schemas.microsoft.com/office/drawing/2014/chart" uri="{C3380CC4-5D6E-409C-BE32-E72D297353CC}">
              <c16:uniqueId val="{00000006-769C-EE48-A59C-73073DC64CDE}"/>
            </c:ext>
          </c:extLst>
        </c:ser>
        <c:dLbls>
          <c:showLegendKey val="0"/>
          <c:showVal val="0"/>
          <c:showCatName val="0"/>
          <c:showSerName val="0"/>
          <c:showPercent val="0"/>
          <c:showBubbleSize val="0"/>
        </c:dLbls>
        <c:gapWidth val="150"/>
        <c:overlap val="100"/>
        <c:axId val="146492928"/>
        <c:axId val="146501440"/>
      </c:barChart>
      <c:catAx>
        <c:axId val="1464929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1440"/>
        <c:crosses val="autoZero"/>
        <c:auto val="1"/>
        <c:lblAlgn val="ctr"/>
        <c:lblOffset val="100"/>
        <c:noMultiLvlLbl val="0"/>
      </c:catAx>
      <c:valAx>
        <c:axId val="146501440"/>
        <c:scaling>
          <c:orientation val="minMax"/>
          <c:min val="0.4"/>
        </c:scaling>
        <c:delete val="1"/>
        <c:axPos val="l"/>
        <c:numFmt formatCode="0%" sourceLinked="1"/>
        <c:majorTickMark val="none"/>
        <c:minorTickMark val="none"/>
        <c:tickLblPos val="nextTo"/>
        <c:crossAx val="146492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Revenue Mix: FY2024 vs FY2026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Segments!$I$23</c:f>
              <c:strCache>
                <c:ptCount val="1"/>
                <c:pt idx="0">
                  <c:v>UK Sports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Segments!$H$24:$H$25</c:f>
              <c:strCache>
                <c:ptCount val="2"/>
                <c:pt idx="0">
                  <c:v>2024 Mix</c:v>
                </c:pt>
                <c:pt idx="1">
                  <c:v>2026 Mix</c:v>
                </c:pt>
              </c:strCache>
            </c:strRef>
          </c:cat>
          <c:val>
            <c:numRef>
              <c:f>Segments!$I$24:$I$25</c:f>
              <c:numCache>
                <c:formatCode>0.0%</c:formatCode>
                <c:ptCount val="2"/>
                <c:pt idx="0">
                  <c:v>0.54709422606733127</c:v>
                </c:pt>
                <c:pt idx="1">
                  <c:v>0.48258510298728852</c:v>
                </c:pt>
              </c:numCache>
            </c:numRef>
          </c:val>
          <c:extLst>
            <c:ext xmlns:c16="http://schemas.microsoft.com/office/drawing/2014/chart" uri="{C3380CC4-5D6E-409C-BE32-E72D297353CC}">
              <c16:uniqueId val="{00000000-E9D9-3E4F-A2E7-39EC76A510F0}"/>
            </c:ext>
          </c:extLst>
        </c:ser>
        <c:ser>
          <c:idx val="1"/>
          <c:order val="1"/>
          <c:tx>
            <c:strRef>
              <c:f>Segments!$J$23</c:f>
              <c:strCache>
                <c:ptCount val="1"/>
                <c:pt idx="0">
                  <c:v>Premium Lifestyle</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Segments!$H$24:$H$25</c:f>
              <c:strCache>
                <c:ptCount val="2"/>
                <c:pt idx="0">
                  <c:v>2024 Mix</c:v>
                </c:pt>
                <c:pt idx="1">
                  <c:v>2026 Mix</c:v>
                </c:pt>
              </c:strCache>
            </c:strRef>
          </c:cat>
          <c:val>
            <c:numRef>
              <c:f>Segments!$J$24:$J$25</c:f>
              <c:numCache>
                <c:formatCode>0.0%</c:formatCode>
                <c:ptCount val="2"/>
                <c:pt idx="0">
                  <c:v>0.23129584352078239</c:v>
                </c:pt>
                <c:pt idx="1">
                  <c:v>0.18319908372293886</c:v>
                </c:pt>
              </c:numCache>
            </c:numRef>
          </c:val>
          <c:extLst>
            <c:ext xmlns:c16="http://schemas.microsoft.com/office/drawing/2014/chart" uri="{C3380CC4-5D6E-409C-BE32-E72D297353CC}">
              <c16:uniqueId val="{00000001-E9D9-3E4F-A2E7-39EC76A510F0}"/>
            </c:ext>
          </c:extLst>
        </c:ser>
        <c:ser>
          <c:idx val="2"/>
          <c:order val="2"/>
          <c:tx>
            <c:strRef>
              <c:f>Segments!$K$23</c:f>
              <c:strCache>
                <c:ptCount val="1"/>
                <c:pt idx="0">
                  <c:v>International</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Segments!$H$24:$H$25</c:f>
              <c:strCache>
                <c:ptCount val="2"/>
                <c:pt idx="0">
                  <c:v>2024 Mix</c:v>
                </c:pt>
                <c:pt idx="1">
                  <c:v>2026 Mix</c:v>
                </c:pt>
              </c:strCache>
            </c:strRef>
          </c:cat>
          <c:val>
            <c:numRef>
              <c:f>Segments!$K$24:$K$25</c:f>
              <c:numCache>
                <c:formatCode>0.0%</c:formatCode>
                <c:ptCount val="2"/>
                <c:pt idx="0">
                  <c:v>0.18706037239044573</c:v>
                </c:pt>
                <c:pt idx="1">
                  <c:v>0.30109465066937041</c:v>
                </c:pt>
              </c:numCache>
            </c:numRef>
          </c:val>
          <c:extLst>
            <c:ext xmlns:c16="http://schemas.microsoft.com/office/drawing/2014/chart" uri="{C3380CC4-5D6E-409C-BE32-E72D297353CC}">
              <c16:uniqueId val="{00000002-E9D9-3E4F-A2E7-39EC76A510F0}"/>
            </c:ext>
          </c:extLst>
        </c:ser>
        <c:ser>
          <c:idx val="3"/>
          <c:order val="3"/>
          <c:tx>
            <c:strRef>
              <c:f>Segments!$L$23</c:f>
              <c:strCache>
                <c:ptCount val="1"/>
                <c:pt idx="0">
                  <c:v>Property</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Segments!$H$24:$H$25</c:f>
              <c:strCache>
                <c:ptCount val="2"/>
                <c:pt idx="0">
                  <c:v>2024 Mix</c:v>
                </c:pt>
                <c:pt idx="1">
                  <c:v>2026 Mix</c:v>
                </c:pt>
              </c:strCache>
            </c:strRef>
          </c:cat>
          <c:val>
            <c:numRef>
              <c:f>Segments!$L$24:$L$25</c:f>
              <c:numCache>
                <c:formatCode>0.0%</c:formatCode>
                <c:ptCount val="2"/>
                <c:pt idx="0">
                  <c:v>1.3673123942072598E-2</c:v>
                </c:pt>
                <c:pt idx="1">
                  <c:v>1.8025122514504593E-2</c:v>
                </c:pt>
              </c:numCache>
            </c:numRef>
          </c:val>
          <c:extLst>
            <c:ext xmlns:c16="http://schemas.microsoft.com/office/drawing/2014/chart" uri="{C3380CC4-5D6E-409C-BE32-E72D297353CC}">
              <c16:uniqueId val="{00000003-E9D9-3E4F-A2E7-39EC76A510F0}"/>
            </c:ext>
          </c:extLst>
        </c:ser>
        <c:ser>
          <c:idx val="4"/>
          <c:order val="4"/>
          <c:tx>
            <c:strRef>
              <c:f>Segments!$M$23</c:f>
              <c:strCache>
                <c:ptCount val="1"/>
                <c:pt idx="0">
                  <c:v>Financial Services</c:v>
                </c:pt>
              </c:strCache>
            </c:strRef>
          </c:tx>
          <c:spPr>
            <a:solidFill>
              <a:schemeClr val="accent5">
                <a:lumMod val="75000"/>
              </a:schemeClr>
            </a:solidFill>
            <a:ln>
              <a:noFill/>
            </a:ln>
            <a:effectLst/>
          </c:spPr>
          <c:invertIfNegative val="0"/>
          <c:dLbls>
            <c:dLbl>
              <c:idx val="0"/>
              <c:layout>
                <c:manualLayout>
                  <c:x val="-6.4022523868212028E-2"/>
                  <c:y val="1.8671444564854516E-7"/>
                </c:manualLayout>
              </c:layout>
              <c:spPr>
                <a:noFill/>
                <a:ln>
                  <a:noFill/>
                </a:ln>
                <a:effectLst/>
              </c:spPr>
              <c:txPr>
                <a:bodyPr rot="0" spcFirstLastPara="1" vertOverflow="ellipsis" vert="horz" wrap="square" lIns="38100" tIns="19050" rIns="38100" bIns="19050" anchor="ctr" anchorCtr="1">
                  <a:noAutofit/>
                </a:bodyPr>
                <a:lstStyle/>
                <a:p>
                  <a:pPr>
                    <a:defRPr sz="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40504650024581E-2"/>
                      <c:h val="2.8360430578448816E-2"/>
                    </c:manualLayout>
                  </c15:layout>
                </c:ext>
                <c:ext xmlns:c16="http://schemas.microsoft.com/office/drawing/2014/chart" uri="{C3380CC4-5D6E-409C-BE32-E72D297353CC}">
                  <c16:uniqueId val="{00000005-E9D9-3E4F-A2E7-39EC76A510F0}"/>
                </c:ext>
              </c:extLst>
            </c:dLbl>
            <c:dLbl>
              <c:idx val="1"/>
              <c:layout>
                <c:manualLayout>
                  <c:x val="-6.6806195464794799E-2"/>
                  <c:y val="-1.748675192512396E-5"/>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9D9-3E4F-A2E7-39EC76A510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Segments!$H$24:$H$25</c:f>
              <c:strCache>
                <c:ptCount val="2"/>
                <c:pt idx="0">
                  <c:v>2024 Mix</c:v>
                </c:pt>
                <c:pt idx="1">
                  <c:v>2026 Mix</c:v>
                </c:pt>
              </c:strCache>
            </c:strRef>
          </c:cat>
          <c:val>
            <c:numRef>
              <c:f>Segments!$M$24:$M$25</c:f>
              <c:numCache>
                <c:formatCode>0.0%</c:formatCode>
                <c:ptCount val="2"/>
                <c:pt idx="0">
                  <c:v>2.0876434079368063E-2</c:v>
                </c:pt>
                <c:pt idx="1">
                  <c:v>1.5096040105897596E-2</c:v>
                </c:pt>
              </c:numCache>
            </c:numRef>
          </c:val>
          <c:extLst>
            <c:ext xmlns:c16="http://schemas.microsoft.com/office/drawing/2014/chart" uri="{C3380CC4-5D6E-409C-BE32-E72D297353CC}">
              <c16:uniqueId val="{00000004-E9D9-3E4F-A2E7-39EC76A510F0}"/>
            </c:ext>
          </c:extLst>
        </c:ser>
        <c:dLbls>
          <c:showLegendKey val="0"/>
          <c:showVal val="0"/>
          <c:showCatName val="0"/>
          <c:showSerName val="0"/>
          <c:showPercent val="0"/>
          <c:showBubbleSize val="0"/>
        </c:dLbls>
        <c:gapWidth val="150"/>
        <c:overlap val="100"/>
        <c:axId val="146492928"/>
        <c:axId val="146501440"/>
      </c:barChart>
      <c:catAx>
        <c:axId val="1464929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1440"/>
        <c:crosses val="autoZero"/>
        <c:auto val="1"/>
        <c:lblAlgn val="ctr"/>
        <c:lblOffset val="100"/>
        <c:noMultiLvlLbl val="0"/>
      </c:catAx>
      <c:valAx>
        <c:axId val="146501440"/>
        <c:scaling>
          <c:orientation val="minMax"/>
          <c:min val="0.4"/>
        </c:scaling>
        <c:delete val="1"/>
        <c:axPos val="l"/>
        <c:numFmt formatCode="0%" sourceLinked="1"/>
        <c:majorTickMark val="none"/>
        <c:minorTickMark val="none"/>
        <c:tickLblPos val="nextTo"/>
        <c:crossAx val="146492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35</xdr:row>
      <xdr:rowOff>186265</xdr:rowOff>
    </xdr:from>
    <xdr:to>
      <xdr:col>5</xdr:col>
      <xdr:colOff>592667</xdr:colOff>
      <xdr:row>50</xdr:row>
      <xdr:rowOff>143932</xdr:rowOff>
    </xdr:to>
    <xdr:graphicFrame macro="">
      <xdr:nvGraphicFramePr>
        <xdr:cNvPr id="2" name="Chart 1">
          <a:extLst>
            <a:ext uri="{FF2B5EF4-FFF2-40B4-BE49-F238E27FC236}">
              <a16:creationId xmlns:a16="http://schemas.microsoft.com/office/drawing/2014/main" id="{F237A867-AA65-DF4F-880B-82F03B438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67734</xdr:colOff>
      <xdr:row>14</xdr:row>
      <xdr:rowOff>16933</xdr:rowOff>
    </xdr:from>
    <xdr:to>
      <xdr:col>8</xdr:col>
      <xdr:colOff>702733</xdr:colOff>
      <xdr:row>27</xdr:row>
      <xdr:rowOff>8467</xdr:rowOff>
    </xdr:to>
    <xdr:sp macro="" textlink="">
      <xdr:nvSpPr>
        <xdr:cNvPr id="3" name="TextBox 2">
          <a:extLst>
            <a:ext uri="{FF2B5EF4-FFF2-40B4-BE49-F238E27FC236}">
              <a16:creationId xmlns:a16="http://schemas.microsoft.com/office/drawing/2014/main" id="{26D97615-B326-DBDF-81B3-7DA63CCA2307}"/>
            </a:ext>
          </a:extLst>
        </xdr:cNvPr>
        <xdr:cNvSpPr txBox="1"/>
      </xdr:nvSpPr>
      <xdr:spPr>
        <a:xfrm>
          <a:off x="4529667" y="2937933"/>
          <a:ext cx="2294466" cy="25230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i="0" u="none" strike="noStrike">
              <a:solidFill>
                <a:schemeClr val="dk1"/>
              </a:solidFill>
              <a:effectLst/>
              <a:latin typeface="+mn-lt"/>
              <a:ea typeface="+mn-ea"/>
              <a:cs typeface="+mn-cs"/>
            </a:rPr>
            <a:t>&gt;</a:t>
          </a:r>
          <a:r>
            <a:rPr lang="en-IN" sz="1000" b="0" i="0" u="none" strike="noStrike" baseline="0">
              <a:solidFill>
                <a:schemeClr val="dk1"/>
              </a:solidFill>
              <a:effectLst/>
              <a:latin typeface="+mn-lt"/>
              <a:ea typeface="+mn-ea"/>
              <a:cs typeface="+mn-cs"/>
            </a:rPr>
            <a:t> </a:t>
          </a:r>
          <a:r>
            <a:rPr lang="en-IN" sz="1000" b="0" i="0" u="none" strike="noStrike">
              <a:solidFill>
                <a:schemeClr val="dk1"/>
              </a:solidFill>
              <a:effectLst/>
              <a:latin typeface="+mn-lt"/>
              <a:ea typeface="+mn-ea"/>
              <a:cs typeface="+mn-cs"/>
            </a:rPr>
            <a:t>EBITDA recovery has not translated into stronger cash generation.</a:t>
          </a:r>
          <a:r>
            <a:rPr lang="en-IN" sz="1000">
              <a:effectLst/>
            </a:rPr>
            <a:t> </a:t>
          </a:r>
        </a:p>
        <a:p>
          <a:r>
            <a:rPr lang="en-IN" sz="1000" b="0" i="0" u="none" strike="noStrike">
              <a:solidFill>
                <a:schemeClr val="dk1"/>
              </a:solidFill>
              <a:effectLst/>
              <a:latin typeface="+mn-lt"/>
              <a:ea typeface="+mn-ea"/>
              <a:cs typeface="+mn-cs"/>
            </a:rPr>
            <a:t>&gt; Negative FCF indicates internal cash generation was insufficient to fund CapEx in FY26.</a:t>
          </a:r>
          <a:r>
            <a:rPr lang="en-IN" sz="1000">
              <a:effectLst/>
            </a:rPr>
            <a:t> </a:t>
          </a:r>
        </a:p>
        <a:p>
          <a:r>
            <a:rPr lang="en-IN" sz="1000" b="0" i="0" u="none" strike="noStrike">
              <a:solidFill>
                <a:schemeClr val="dk1"/>
              </a:solidFill>
              <a:effectLst/>
              <a:latin typeface="+mn-lt"/>
              <a:ea typeface="+mn-ea"/>
              <a:cs typeface="+mn-cs"/>
            </a:rPr>
            <a:t>&gt; Credit quality therefore remains dependent on a recovery in cash conversion and stronger margins growth </a:t>
          </a:r>
          <a:r>
            <a:rPr lang="en-IN" sz="1000">
              <a:effectLst/>
            </a:rPr>
            <a:t> </a:t>
          </a:r>
        </a:p>
        <a:p>
          <a:r>
            <a:rPr lang="en-IN" sz="1000" b="0" i="0" u="none" strike="noStrike">
              <a:solidFill>
                <a:schemeClr val="dk1"/>
              </a:solidFill>
              <a:effectLst/>
              <a:latin typeface="+mn-lt"/>
              <a:ea typeface="+mn-ea"/>
              <a:cs typeface="+mn-cs"/>
            </a:rPr>
            <a:t>&gt; The sharp increase in interest expense happened because of higher debt utilisation following the July 2025 refinancing, as Frasers used additional borrowing to fund acquisitions, strategic investments and capital expenditure.</a:t>
          </a:r>
          <a:r>
            <a:rPr lang="en-IN" sz="1000">
              <a:effectLst/>
            </a:rPr>
            <a:t> </a:t>
          </a:r>
        </a:p>
        <a:p>
          <a:endParaRPr lang="en-GB" sz="1000"/>
        </a:p>
      </xdr:txBody>
    </xdr:sp>
    <xdr:clientData/>
  </xdr:twoCellAnchor>
  <xdr:twoCellAnchor>
    <xdr:from>
      <xdr:col>5</xdr:col>
      <xdr:colOff>686741</xdr:colOff>
      <xdr:row>35</xdr:row>
      <xdr:rowOff>84667</xdr:rowOff>
    </xdr:from>
    <xdr:to>
      <xdr:col>8</xdr:col>
      <xdr:colOff>752593</xdr:colOff>
      <xdr:row>50</xdr:row>
      <xdr:rowOff>103481</xdr:rowOff>
    </xdr:to>
    <xdr:sp macro="" textlink="">
      <xdr:nvSpPr>
        <xdr:cNvPr id="4" name="TextBox 3">
          <a:extLst>
            <a:ext uri="{FF2B5EF4-FFF2-40B4-BE49-F238E27FC236}">
              <a16:creationId xmlns:a16="http://schemas.microsoft.com/office/drawing/2014/main" id="{1D7302DF-152D-B4BD-94AF-35E9080A8D48}"/>
            </a:ext>
          </a:extLst>
        </xdr:cNvPr>
        <xdr:cNvSpPr txBox="1"/>
      </xdr:nvSpPr>
      <xdr:spPr>
        <a:xfrm>
          <a:off x="4308593" y="6858000"/>
          <a:ext cx="2549407" cy="28410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&gt; International's share rose sharply from 18% to 30%, increasing diversification &amp; international execution risk but the growth came largely through acquisitions</a:t>
          </a:r>
          <a:r>
            <a:rPr lang="en-IN">
              <a:effectLst/>
            </a:rPr>
            <a:t> </a:t>
          </a:r>
        </a:p>
        <a:p>
          <a:r>
            <a:rPr lang="en-IN" sz="1100" b="0" i="0" u="none" strike="noStrike">
              <a:solidFill>
                <a:schemeClr val="dk1"/>
              </a:solidFill>
              <a:effectLst/>
              <a:latin typeface="+mn-lt"/>
              <a:ea typeface="+mn-ea"/>
              <a:cs typeface="+mn-cs"/>
            </a:rPr>
            <a:t>&gt; Revenue mix is becoming more diversified, but growth is shifting toward a segment currently generating operating losses because of acquisition-related impairments showing execution risk.</a:t>
          </a:r>
          <a:r>
            <a:rPr lang="en-IN">
              <a:effectLst/>
            </a:rPr>
            <a:t> </a:t>
          </a:r>
        </a:p>
        <a:p>
          <a:r>
            <a:rPr lang="en-IN" sz="1100" b="0" i="0" u="none" strike="noStrike">
              <a:solidFill>
                <a:schemeClr val="dk1"/>
              </a:solidFill>
              <a:effectLst/>
              <a:latin typeface="+mn-lt"/>
              <a:ea typeface="+mn-ea"/>
              <a:cs typeface="+mn-cs"/>
            </a:rPr>
            <a:t>&gt; UK Sports remains the largest segment but it's share has fallen slightly</a:t>
          </a:r>
          <a:r>
            <a:rPr lang="en-IN">
              <a:effectLst/>
            </a:rPr>
            <a:t> </a:t>
          </a:r>
        </a:p>
        <a:p>
          <a:endParaRPr lang="en-GB" sz="1100"/>
        </a:p>
      </xdr:txBody>
    </xdr:sp>
    <xdr:clientData/>
  </xdr:twoCellAnchor>
  <xdr:twoCellAnchor>
    <xdr:from>
      <xdr:col>4</xdr:col>
      <xdr:colOff>159657</xdr:colOff>
      <xdr:row>52</xdr:row>
      <xdr:rowOff>50800</xdr:rowOff>
    </xdr:from>
    <xdr:to>
      <xdr:col>8</xdr:col>
      <xdr:colOff>595085</xdr:colOff>
      <xdr:row>60</xdr:row>
      <xdr:rowOff>0</xdr:rowOff>
    </xdr:to>
    <xdr:sp macro="" textlink="">
      <xdr:nvSpPr>
        <xdr:cNvPr id="5" name="TextBox 4">
          <a:extLst>
            <a:ext uri="{FF2B5EF4-FFF2-40B4-BE49-F238E27FC236}">
              <a16:creationId xmlns:a16="http://schemas.microsoft.com/office/drawing/2014/main" id="{80BBBDFB-C9E9-9CEE-C2D0-8EF4AF94AEB8}"/>
            </a:ext>
          </a:extLst>
        </xdr:cNvPr>
        <xdr:cNvSpPr txBox="1"/>
      </xdr:nvSpPr>
      <xdr:spPr>
        <a:xfrm>
          <a:off x="3084286" y="9862457"/>
          <a:ext cx="3744685" cy="14586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lvl="0" indent="0"/>
          <a:r>
            <a:rPr lang="en-IN" sz="1100" b="0" i="0" u="none" strike="noStrike">
              <a:solidFill>
                <a:schemeClr val="dk1"/>
              </a:solidFill>
              <a:effectLst/>
              <a:latin typeface="+mn-lt"/>
              <a:ea typeface="+mn-ea"/>
              <a:cs typeface="+mn-cs"/>
            </a:rPr>
            <a:t>&gt; Leverage remains moderate at 1.51x, but debt increased materially.</a:t>
          </a:r>
        </a:p>
        <a:p>
          <a:pPr marL="0" lvl="0" indent="0"/>
          <a:r>
            <a:rPr lang="en-IN" sz="1100" b="0" i="0" u="none" strike="noStrike">
              <a:solidFill>
                <a:schemeClr val="dk1"/>
              </a:solidFill>
              <a:effectLst/>
              <a:latin typeface="+mn-lt"/>
              <a:ea typeface="+mn-ea"/>
              <a:cs typeface="+mn-cs"/>
            </a:rPr>
            <a:t>&gt; Liquidity is sizeable, with £389m cash and £1.74bn of undrawn bank facilities, reducing near-term refinancing pressure.</a:t>
          </a:r>
        </a:p>
        <a:p>
          <a:r>
            <a:rPr lang="en-GB" sz="1100"/>
            <a:t>&gt; </a:t>
          </a:r>
          <a:r>
            <a:rPr lang="en-IN" sz="1100" b="0" i="0" u="none" strike="noStrike">
              <a:solidFill>
                <a:schemeClr val="dk1"/>
              </a:solidFill>
              <a:effectLst/>
              <a:latin typeface="+mn-lt"/>
              <a:ea typeface="+mn-ea"/>
              <a:cs typeface="+mn-cs"/>
            </a:rPr>
            <a:t>Corporate debt security is not publicly disclosed, making recovery more uncertain.</a:t>
          </a:r>
          <a:endParaRPr lang="en-GB" sz="1100"/>
        </a:p>
      </xdr:txBody>
    </xdr:sp>
    <xdr:clientData/>
  </xdr:twoCellAnchor>
  <xdr:twoCellAnchor>
    <xdr:from>
      <xdr:col>6</xdr:col>
      <xdr:colOff>65314</xdr:colOff>
      <xdr:row>80</xdr:row>
      <xdr:rowOff>7257</xdr:rowOff>
    </xdr:from>
    <xdr:to>
      <xdr:col>8</xdr:col>
      <xdr:colOff>747485</xdr:colOff>
      <xdr:row>87</xdr:row>
      <xdr:rowOff>159657</xdr:rowOff>
    </xdr:to>
    <xdr:sp macro="" textlink="">
      <xdr:nvSpPr>
        <xdr:cNvPr id="6" name="TextBox 5">
          <a:extLst>
            <a:ext uri="{FF2B5EF4-FFF2-40B4-BE49-F238E27FC236}">
              <a16:creationId xmlns:a16="http://schemas.microsoft.com/office/drawing/2014/main" id="{BD19495B-4269-F633-12AA-48EF899BE0E4}"/>
            </a:ext>
          </a:extLst>
        </xdr:cNvPr>
        <xdr:cNvSpPr txBox="1"/>
      </xdr:nvSpPr>
      <xdr:spPr>
        <a:xfrm>
          <a:off x="4644571" y="15102114"/>
          <a:ext cx="2336800" cy="147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
          <a:r>
            <a:rPr lang="en-IN" sz="1100" b="0" i="0" u="none" strike="noStrike">
              <a:solidFill>
                <a:schemeClr val="dk1"/>
              </a:solidFill>
              <a:effectLst/>
              <a:latin typeface="+mn-lt"/>
              <a:ea typeface="+mn-ea"/>
              <a:cs typeface="+mn-cs"/>
            </a:rPr>
            <a:t>&gt; Frasers has the lowest revenue among the selected peer set but better margins</a:t>
          </a:r>
        </a:p>
        <a:p>
          <a:r>
            <a:rPr lang="en-IN" sz="1100" b="0" i="0" u="none" strike="noStrike">
              <a:solidFill>
                <a:schemeClr val="dk1"/>
              </a:solidFill>
              <a:effectLst/>
              <a:latin typeface="+mn-lt"/>
              <a:ea typeface="+mn-ea"/>
              <a:cs typeface="+mn-cs"/>
            </a:rPr>
            <a:t>&gt; Its debt-servicing capacity is comfortable, but higher leverage leaves less room to absorb further earnings or cash-flow pressure than lower-leveraged peers.</a:t>
          </a:r>
          <a:r>
            <a:rPr lang="en-IN" sz="1100">
              <a:effectLst/>
            </a:rPr>
            <a:t> </a:t>
          </a:r>
        </a:p>
        <a:p>
          <a:endParaRPr lang="en-GB" sz="1100"/>
        </a:p>
      </xdr:txBody>
    </xdr:sp>
    <xdr:clientData/>
  </xdr:twoCellAnchor>
  <xdr:twoCellAnchor>
    <xdr:from>
      <xdr:col>5</xdr:col>
      <xdr:colOff>217714</xdr:colOff>
      <xdr:row>89</xdr:row>
      <xdr:rowOff>36285</xdr:rowOff>
    </xdr:from>
    <xdr:to>
      <xdr:col>8</xdr:col>
      <xdr:colOff>754743</xdr:colOff>
      <xdr:row>103</xdr:row>
      <xdr:rowOff>108857</xdr:rowOff>
    </xdr:to>
    <xdr:sp macro="" textlink="">
      <xdr:nvSpPr>
        <xdr:cNvPr id="7" name="TextBox 6">
          <a:extLst>
            <a:ext uri="{FF2B5EF4-FFF2-40B4-BE49-F238E27FC236}">
              <a16:creationId xmlns:a16="http://schemas.microsoft.com/office/drawing/2014/main" id="{CE3897BF-3B72-40FC-2020-FD980837EE48}"/>
            </a:ext>
          </a:extLst>
        </xdr:cNvPr>
        <xdr:cNvSpPr txBox="1"/>
      </xdr:nvSpPr>
      <xdr:spPr>
        <a:xfrm>
          <a:off x="3969657" y="16829314"/>
          <a:ext cx="3018972" cy="27141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i="0" u="none" strike="noStrike">
              <a:solidFill>
                <a:schemeClr val="dk1"/>
              </a:solidFill>
              <a:effectLst/>
              <a:latin typeface="+mn-lt"/>
              <a:ea typeface="+mn-ea"/>
              <a:cs typeface="+mn-cs"/>
            </a:rPr>
            <a:t>Assumptions</a:t>
          </a:r>
          <a:r>
            <a:rPr lang="en-IN" sz="900">
              <a:effectLst/>
            </a:rPr>
            <a:t> </a:t>
          </a:r>
        </a:p>
        <a:p>
          <a:r>
            <a:rPr lang="en-IN" sz="900" b="0" i="0" u="none" strike="noStrike">
              <a:solidFill>
                <a:schemeClr val="dk1"/>
              </a:solidFill>
              <a:effectLst/>
              <a:latin typeface="+mn-lt"/>
              <a:ea typeface="+mn-ea"/>
              <a:cs typeface="+mn-cs"/>
            </a:rPr>
            <a:t>Revenue and net debt held constant to isolate EBITDA sensitivity</a:t>
          </a:r>
          <a:r>
            <a:rPr lang="en-IN" sz="900">
              <a:effectLst/>
            </a:rPr>
            <a:t> </a:t>
          </a:r>
        </a:p>
        <a:p>
          <a:r>
            <a:rPr lang="en-IN" sz="900" b="0" i="0" u="none" strike="noStrike">
              <a:solidFill>
                <a:schemeClr val="dk1"/>
              </a:solidFill>
              <a:effectLst/>
              <a:latin typeface="+mn-lt"/>
              <a:ea typeface="+mn-ea"/>
              <a:cs typeface="+mn-cs"/>
            </a:rPr>
            <a:t>Liquidity held constant before any additional cash burn or facility drawings under stress.</a:t>
          </a:r>
          <a:r>
            <a:rPr lang="en-IN" sz="900">
              <a:effectLst/>
            </a:rPr>
            <a:t> </a:t>
          </a:r>
        </a:p>
        <a:p>
          <a:r>
            <a:rPr lang="en-IN" sz="900" b="1" i="0" u="none" strike="noStrike">
              <a:solidFill>
                <a:schemeClr val="dk1"/>
              </a:solidFill>
              <a:effectLst/>
              <a:latin typeface="+mn-lt"/>
              <a:ea typeface="+mn-ea"/>
              <a:cs typeface="+mn-cs"/>
            </a:rPr>
            <a:t>Base</a:t>
          </a:r>
          <a:r>
            <a:rPr lang="en-IN" sz="900">
              <a:effectLst/>
            </a:rPr>
            <a:t> </a:t>
          </a:r>
        </a:p>
        <a:p>
          <a:r>
            <a:rPr lang="en-IN" sz="900" b="0" i="0" u="none" strike="noStrike">
              <a:solidFill>
                <a:schemeClr val="dk1"/>
              </a:solidFill>
              <a:effectLst/>
              <a:latin typeface="+mn-lt"/>
              <a:ea typeface="+mn-ea"/>
              <a:cs typeface="+mn-cs"/>
            </a:rPr>
            <a:t>1.51x net leverage and 6.13x interest coverage indicate substantial debt-service capacity.</a:t>
          </a:r>
          <a:r>
            <a:rPr lang="en-IN" sz="900">
              <a:effectLst/>
            </a:rPr>
            <a:t> </a:t>
          </a:r>
        </a:p>
        <a:p>
          <a:r>
            <a:rPr lang="en-IN" sz="900" b="1" i="0" u="none" strike="noStrike">
              <a:solidFill>
                <a:schemeClr val="dk1"/>
              </a:solidFill>
              <a:effectLst/>
              <a:latin typeface="+mn-lt"/>
              <a:ea typeface="+mn-ea"/>
              <a:cs typeface="+mn-cs"/>
            </a:rPr>
            <a:t>Downside</a:t>
          </a:r>
          <a:r>
            <a:rPr lang="en-IN" sz="900">
              <a:effectLst/>
            </a:rPr>
            <a:t> </a:t>
          </a:r>
        </a:p>
        <a:p>
          <a:r>
            <a:rPr lang="en-IN" sz="900" b="0" i="0" u="none" strike="noStrike">
              <a:solidFill>
                <a:schemeClr val="dk1"/>
              </a:solidFill>
              <a:effectLst/>
              <a:latin typeface="+mn-lt"/>
              <a:ea typeface="+mn-ea"/>
              <a:cs typeface="+mn-cs"/>
            </a:rPr>
            <a:t>A 20% EBITDA decline increases leverage to 1.89x and reduces interest coverage to 4.90x, but debt-service capacity remains supported.</a:t>
          </a:r>
          <a:r>
            <a:rPr lang="en-IN" sz="900">
              <a:effectLst/>
            </a:rPr>
            <a:t> </a:t>
          </a:r>
        </a:p>
        <a:p>
          <a:r>
            <a:rPr lang="en-IN" sz="900" b="1" i="0" u="none" strike="noStrike">
              <a:solidFill>
                <a:schemeClr val="dk1"/>
              </a:solidFill>
              <a:effectLst/>
              <a:latin typeface="+mn-lt"/>
              <a:ea typeface="+mn-ea"/>
              <a:cs typeface="+mn-cs"/>
            </a:rPr>
            <a:t>Severe Downside</a:t>
          </a:r>
          <a:r>
            <a:rPr lang="en-IN" sz="900">
              <a:effectLst/>
            </a:rPr>
            <a:t> </a:t>
          </a:r>
        </a:p>
        <a:p>
          <a:r>
            <a:rPr lang="en-IN" sz="900" b="0" i="0" u="none" strike="noStrike">
              <a:solidFill>
                <a:schemeClr val="dk1"/>
              </a:solidFill>
              <a:effectLst/>
              <a:latin typeface="+mn-lt"/>
              <a:ea typeface="+mn-ea"/>
              <a:cs typeface="+mn-cs"/>
            </a:rPr>
            <a:t>A 40% EBITDA decline increases leverage to 2.52x and reduces interest coverage to 3.68x, materially reducing financial flexibility.</a:t>
          </a:r>
          <a:r>
            <a:rPr lang="en-IN" sz="900">
              <a:effectLst/>
            </a:rPr>
            <a:t> </a:t>
          </a:r>
        </a:p>
        <a:p>
          <a:r>
            <a:rPr lang="en-IN" sz="900" b="0" i="0" u="none" strike="noStrike">
              <a:solidFill>
                <a:schemeClr val="dk1"/>
              </a:solidFill>
              <a:effectLst/>
              <a:latin typeface="+mn-lt"/>
              <a:ea typeface="+mn-ea"/>
              <a:cs typeface="+mn-cs"/>
            </a:rPr>
            <a:t>Severe downside leverage reaches 2.52x, remaining below Frasers' stated 3.0x net debt / Reported EBITDA level.</a:t>
          </a:r>
          <a:r>
            <a:rPr lang="en-IN" sz="900">
              <a:effectLst/>
            </a:rPr>
            <a:t> </a:t>
          </a:r>
        </a:p>
        <a:p>
          <a:endParaRPr lang="en-GB" sz="900"/>
        </a:p>
      </xdr:txBody>
    </xdr:sp>
    <xdr:clientData/>
  </xdr:twoCellAnchor>
  <xdr:twoCellAnchor>
    <xdr:from>
      <xdr:col>0</xdr:col>
      <xdr:colOff>72571</xdr:colOff>
      <xdr:row>101</xdr:row>
      <xdr:rowOff>36286</xdr:rowOff>
    </xdr:from>
    <xdr:to>
      <xdr:col>5</xdr:col>
      <xdr:colOff>130628</xdr:colOff>
      <xdr:row>103</xdr:row>
      <xdr:rowOff>50800</xdr:rowOff>
    </xdr:to>
    <xdr:sp macro="" textlink="">
      <xdr:nvSpPr>
        <xdr:cNvPr id="8" name="TextBox 7">
          <a:extLst>
            <a:ext uri="{FF2B5EF4-FFF2-40B4-BE49-F238E27FC236}">
              <a16:creationId xmlns:a16="http://schemas.microsoft.com/office/drawing/2014/main" id="{EA33763F-A993-096B-A0CF-F52B3EC23180}"/>
            </a:ext>
          </a:extLst>
        </xdr:cNvPr>
        <xdr:cNvSpPr txBox="1"/>
      </xdr:nvSpPr>
      <xdr:spPr>
        <a:xfrm>
          <a:off x="72571" y="19093543"/>
          <a:ext cx="3810000" cy="3918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800" b="0" i="0" u="none" strike="noStrike">
              <a:solidFill>
                <a:schemeClr val="dk1"/>
              </a:solidFill>
              <a:effectLst/>
              <a:latin typeface="+mn-lt"/>
              <a:ea typeface="+mn-ea"/>
              <a:cs typeface="+mn-cs"/>
            </a:rPr>
            <a:t>Recovery appears supported by a sizeable and diversified asset base, but sensitive to asset haircuts and creditor ranking.</a:t>
          </a:r>
          <a:r>
            <a:rPr lang="en-IN" sz="800" b="0" i="0" u="none" strike="noStrike" baseline="0">
              <a:solidFill>
                <a:schemeClr val="dk1"/>
              </a:solidFill>
              <a:effectLst/>
              <a:latin typeface="+mn-lt"/>
              <a:ea typeface="+mn-ea"/>
              <a:cs typeface="+mn-cs"/>
            </a:rPr>
            <a:t> </a:t>
          </a:r>
          <a:endParaRPr lang="en-IN" sz="800">
            <a:effectLst/>
          </a:endParaRPr>
        </a:p>
        <a:p>
          <a:endParaRPr lang="en-GB" sz="800"/>
        </a:p>
      </xdr:txBody>
    </xdr:sp>
    <xdr:clientData/>
  </xdr:twoCellAnchor>
  <xdr:twoCellAnchor>
    <xdr:from>
      <xdr:col>1</xdr:col>
      <xdr:colOff>0</xdr:colOff>
      <xdr:row>123</xdr:row>
      <xdr:rowOff>157764</xdr:rowOff>
    </xdr:from>
    <xdr:to>
      <xdr:col>4</xdr:col>
      <xdr:colOff>583726</xdr:colOff>
      <xdr:row>140</xdr:row>
      <xdr:rowOff>102546</xdr:rowOff>
    </xdr:to>
    <xdr:sp macro="" textlink="">
      <xdr:nvSpPr>
        <xdr:cNvPr id="9" name="TextBox 8">
          <a:extLst>
            <a:ext uri="{FF2B5EF4-FFF2-40B4-BE49-F238E27FC236}">
              <a16:creationId xmlns:a16="http://schemas.microsoft.com/office/drawing/2014/main" id="{05AF7346-26D5-DDED-EF7A-3527E63DE04A}"/>
            </a:ext>
          </a:extLst>
        </xdr:cNvPr>
        <xdr:cNvSpPr txBox="1"/>
      </xdr:nvSpPr>
      <xdr:spPr>
        <a:xfrm>
          <a:off x="149876" y="23443727"/>
          <a:ext cx="3352484" cy="31631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KEY RISKS</a:t>
          </a:r>
        </a:p>
        <a:p>
          <a:r>
            <a:rPr lang="en-IN" sz="1100" b="0" i="0" u="none" strike="noStrike">
              <a:solidFill>
                <a:schemeClr val="dk1"/>
              </a:solidFill>
              <a:effectLst/>
              <a:latin typeface="+mn-lt"/>
              <a:ea typeface="+mn-ea"/>
              <a:cs typeface="+mn-cs"/>
            </a:rPr>
            <a:t>1. Weak cash conversion: FY26 FCF was negative despite EBITDA growth.</a:t>
          </a:r>
          <a:r>
            <a:rPr lang="en-IN">
              <a:effectLst/>
            </a:rPr>
            <a:t> </a:t>
          </a:r>
        </a:p>
        <a:p>
          <a:r>
            <a:rPr lang="en-IN" sz="1100" b="0" i="0" u="none" strike="noStrike">
              <a:solidFill>
                <a:schemeClr val="dk1"/>
              </a:solidFill>
              <a:effectLst/>
              <a:latin typeface="+mn-lt"/>
              <a:ea typeface="+mn-ea"/>
              <a:cs typeface="+mn-cs"/>
            </a:rPr>
            <a:t>2. Higher debt burden: Net debt increased and interest expense rose materially.</a:t>
          </a:r>
          <a:r>
            <a:rPr lang="en-IN">
              <a:effectLst/>
            </a:rPr>
            <a:t> </a:t>
          </a:r>
        </a:p>
        <a:p>
          <a:r>
            <a:rPr lang="en-IN" sz="1100" b="0" i="0" u="none" strike="noStrike">
              <a:solidFill>
                <a:schemeClr val="dk1"/>
              </a:solidFill>
              <a:effectLst/>
              <a:latin typeface="+mn-lt"/>
              <a:ea typeface="+mn-ea"/>
              <a:cs typeface="+mn-cs"/>
            </a:rPr>
            <a:t>3. Acquisition &amp; integration risk: International growth has involved acquisitions and FY26 impairments.</a:t>
          </a:r>
          <a:r>
            <a:rPr lang="en-IN">
              <a:effectLst/>
            </a:rPr>
            <a:t> </a:t>
          </a:r>
        </a:p>
        <a:p>
          <a:r>
            <a:rPr lang="en-IN" sz="1100" b="0" i="0" u="none" strike="noStrike">
              <a:solidFill>
                <a:schemeClr val="dk1"/>
              </a:solidFill>
              <a:effectLst/>
              <a:latin typeface="+mn-lt"/>
              <a:ea typeface="+mn-ea"/>
              <a:cs typeface="+mn-cs"/>
            </a:rPr>
            <a:t>4. UK consumer exposure: Weak domestic demand could pressure the core UK Sports business.</a:t>
          </a:r>
          <a:r>
            <a:rPr lang="en-IN">
              <a:effectLst/>
            </a:rPr>
            <a:t> </a:t>
          </a:r>
        </a:p>
        <a:p>
          <a:r>
            <a:rPr lang="en-IN" sz="1100" b="0" i="0" u="none" strike="noStrike">
              <a:solidFill>
                <a:schemeClr val="dk1"/>
              </a:solidFill>
              <a:effectLst/>
              <a:latin typeface="+mn-lt"/>
              <a:ea typeface="+mn-ea"/>
              <a:cs typeface="+mn-cs"/>
            </a:rPr>
            <a:t>5. Financial Services credit risk: Consumer-credit growth exposes the Group to defaults and impairments.</a:t>
          </a:r>
          <a:r>
            <a:rPr lang="en-IN">
              <a:effectLst/>
            </a:rPr>
            <a:t> </a:t>
          </a:r>
        </a:p>
        <a:p>
          <a:r>
            <a:rPr lang="en-IN" sz="1100" b="0" i="0" u="none" strike="noStrike">
              <a:solidFill>
                <a:schemeClr val="dk1"/>
              </a:solidFill>
              <a:effectLst/>
              <a:latin typeface="+mn-lt"/>
              <a:ea typeface="+mn-ea"/>
              <a:cs typeface="+mn-cs"/>
            </a:rPr>
            <a:t>6. Downside sensitivity: A 40% EBITDA decline would increase leverage to 2.52x and reduce interest coverage to 3.68x.</a:t>
          </a:r>
          <a:r>
            <a:rPr lang="en-IN">
              <a:effectLst/>
            </a:rPr>
            <a:t> </a:t>
          </a:r>
        </a:p>
        <a:p>
          <a:r>
            <a:rPr lang="en-IN" sz="1100" b="0" i="0" u="none" strike="noStrike">
              <a:solidFill>
                <a:schemeClr val="dk1"/>
              </a:solidFill>
              <a:effectLst/>
              <a:latin typeface="+mn-lt"/>
              <a:ea typeface="+mn-ea"/>
              <a:cs typeface="+mn-cs"/>
            </a:rPr>
            <a:t>7. Recovery uncertainty: Specific security for the corporate Term Loan + RCF is not disclosed.</a:t>
          </a:r>
          <a:r>
            <a:rPr lang="en-IN">
              <a:effectLst/>
            </a:rPr>
            <a:t> </a:t>
          </a:r>
        </a:p>
        <a:p>
          <a:pPr algn="l"/>
          <a:endParaRPr lang="en-GB" sz="1100"/>
        </a:p>
      </xdr:txBody>
    </xdr:sp>
    <xdr:clientData/>
  </xdr:twoCellAnchor>
  <xdr:twoCellAnchor>
    <xdr:from>
      <xdr:col>4</xdr:col>
      <xdr:colOff>717826</xdr:colOff>
      <xdr:row>124</xdr:row>
      <xdr:rowOff>7888</xdr:rowOff>
    </xdr:from>
    <xdr:to>
      <xdr:col>8</xdr:col>
      <xdr:colOff>812484</xdr:colOff>
      <xdr:row>140</xdr:row>
      <xdr:rowOff>102546</xdr:rowOff>
    </xdr:to>
    <xdr:sp macro="" textlink="">
      <xdr:nvSpPr>
        <xdr:cNvPr id="10" name="TextBox 9">
          <a:extLst>
            <a:ext uri="{FF2B5EF4-FFF2-40B4-BE49-F238E27FC236}">
              <a16:creationId xmlns:a16="http://schemas.microsoft.com/office/drawing/2014/main" id="{EF39CF69-83D9-EE20-8673-8280AD99F618}"/>
            </a:ext>
          </a:extLst>
        </xdr:cNvPr>
        <xdr:cNvSpPr txBox="1"/>
      </xdr:nvSpPr>
      <xdr:spPr>
        <a:xfrm>
          <a:off x="3636460" y="23483168"/>
          <a:ext cx="3407701" cy="3123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MITIGANTS</a:t>
          </a:r>
        </a:p>
        <a:p>
          <a:r>
            <a:rPr lang="en-IN" sz="1100" b="0" i="0" u="none" strike="noStrike">
              <a:solidFill>
                <a:schemeClr val="dk1"/>
              </a:solidFill>
              <a:effectLst/>
              <a:latin typeface="+mn-lt"/>
              <a:ea typeface="+mn-ea"/>
              <a:cs typeface="+mn-cs"/>
            </a:rPr>
            <a:t>1. £389m cash + £1.74bn undrawn facilities provide liquidity headroom.</a:t>
          </a:r>
          <a:r>
            <a:rPr lang="en-IN">
              <a:effectLst/>
            </a:rPr>
            <a:t> </a:t>
          </a:r>
        </a:p>
        <a:p>
          <a:r>
            <a:rPr lang="en-IN" sz="1100" b="0" i="0" u="none" strike="noStrike">
              <a:solidFill>
                <a:schemeClr val="dk1"/>
              </a:solidFill>
              <a:effectLst/>
              <a:latin typeface="+mn-lt"/>
              <a:ea typeface="+mn-ea"/>
              <a:cs typeface="+mn-cs"/>
            </a:rPr>
            <a:t>2. 1.51x net leverage and 6.13x interest coverage provide current debt-service capacity.</a:t>
          </a:r>
          <a:r>
            <a:rPr lang="en-IN">
              <a:effectLst/>
            </a:rPr>
            <a:t> </a:t>
          </a:r>
        </a:p>
        <a:p>
          <a:r>
            <a:rPr lang="en-IN" sz="1100" b="0" i="0" u="none" strike="noStrike">
              <a:solidFill>
                <a:schemeClr val="dk1"/>
              </a:solidFill>
              <a:effectLst/>
              <a:latin typeface="+mn-lt"/>
              <a:ea typeface="+mn-ea"/>
              <a:cs typeface="+mn-cs"/>
            </a:rPr>
            <a:t>3. Diversified international platform provides revenue diversification, but execution remains key.</a:t>
          </a:r>
          <a:r>
            <a:rPr lang="en-IN">
              <a:effectLst/>
            </a:rPr>
            <a:t> </a:t>
          </a:r>
        </a:p>
        <a:p>
          <a:r>
            <a:rPr lang="en-IN" sz="1100" b="0" i="0" u="none" strike="noStrike">
              <a:solidFill>
                <a:schemeClr val="dk1"/>
              </a:solidFill>
              <a:effectLst/>
              <a:latin typeface="+mn-lt"/>
              <a:ea typeface="+mn-ea"/>
              <a:cs typeface="+mn-cs"/>
            </a:rPr>
            <a:t>4. International revenue diversification reduces reliance on the UK over time.</a:t>
          </a:r>
          <a:r>
            <a:rPr lang="en-IN">
              <a:effectLst/>
            </a:rPr>
            <a:t> </a:t>
          </a:r>
        </a:p>
        <a:p>
          <a:r>
            <a:rPr lang="en-IN" sz="1100" b="0" i="0" u="none" strike="noStrike">
              <a:solidFill>
                <a:schemeClr val="dk1"/>
              </a:solidFill>
              <a:effectLst/>
              <a:latin typeface="+mn-lt"/>
              <a:ea typeface="+mn-ea"/>
              <a:cs typeface="+mn-cs"/>
            </a:rPr>
            <a:t>5. Credit controls and transaction data support customer underwriting.</a:t>
          </a:r>
          <a:r>
            <a:rPr lang="en-IN">
              <a:effectLst/>
            </a:rPr>
            <a:t> </a:t>
          </a:r>
        </a:p>
        <a:p>
          <a:r>
            <a:rPr lang="en-IN" sz="1100" b="0" i="0" u="none" strike="noStrike">
              <a:solidFill>
                <a:schemeClr val="dk1"/>
              </a:solidFill>
              <a:effectLst/>
              <a:latin typeface="+mn-lt"/>
              <a:ea typeface="+mn-ea"/>
              <a:cs typeface="+mn-cs"/>
            </a:rPr>
            <a:t>6. Leverage remains below the Group's stated 3.0x level in this stress, but financial flexibility would narrow materially.</a:t>
          </a:r>
          <a:r>
            <a:rPr lang="en-IN">
              <a:effectLst/>
            </a:rPr>
            <a:t> </a:t>
          </a:r>
        </a:p>
        <a:p>
          <a:r>
            <a:rPr lang="en-IN" sz="1100" b="0" i="0" u="none" strike="noStrike">
              <a:solidFill>
                <a:schemeClr val="dk1"/>
              </a:solidFill>
              <a:effectLst/>
              <a:latin typeface="+mn-lt"/>
              <a:ea typeface="+mn-ea"/>
              <a:cs typeface="+mn-cs"/>
            </a:rPr>
            <a:t>7. Large underlying asset base provides some downside support, although recovery is sensitive to asset values and creditor ranking.</a:t>
          </a:r>
          <a:r>
            <a:rPr lang="en-IN">
              <a:effectLst/>
            </a:rPr>
            <a:t> </a:t>
          </a:r>
        </a:p>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72887</xdr:colOff>
      <xdr:row>26</xdr:row>
      <xdr:rowOff>113441</xdr:rowOff>
    </xdr:from>
    <xdr:to>
      <xdr:col>11</xdr:col>
      <xdr:colOff>864213</xdr:colOff>
      <xdr:row>40</xdr:row>
      <xdr:rowOff>130375</xdr:rowOff>
    </xdr:to>
    <xdr:graphicFrame macro="">
      <xdr:nvGraphicFramePr>
        <xdr:cNvPr id="3" name="Chart 2">
          <a:extLst>
            <a:ext uri="{FF2B5EF4-FFF2-40B4-BE49-F238E27FC236}">
              <a16:creationId xmlns:a16="http://schemas.microsoft.com/office/drawing/2014/main" id="{A58BAEC4-20B5-2B16-8CF3-EC4D15729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DE1E-0B13-364A-A41E-D1CD3EF15003}">
  <dimension ref="B1:L123"/>
  <sheetViews>
    <sheetView showGridLines="0" tabSelected="1" topLeftCell="A83" zoomScale="191" workbookViewId="0">
      <selection activeCell="B90" sqref="B90"/>
    </sheetView>
  </sheetViews>
  <sheetFormatPr baseColWidth="10" defaultRowHeight="15" x14ac:dyDescent="0.2"/>
  <cols>
    <col min="1" max="1" width="2" customWidth="1"/>
    <col min="2" max="2" width="15.5" customWidth="1"/>
    <col min="3" max="3" width="9" customWidth="1"/>
    <col min="4" max="4" width="11.83203125" customWidth="1"/>
    <col min="5" max="5" width="10.83203125" customWidth="1"/>
  </cols>
  <sheetData>
    <row r="1" spans="2:9" x14ac:dyDescent="0.2">
      <c r="B1" s="12" t="s">
        <v>346</v>
      </c>
    </row>
    <row r="2" spans="2:9" ht="15" customHeight="1" x14ac:dyDescent="0.2">
      <c r="B2" s="73" t="s">
        <v>347</v>
      </c>
      <c r="C2" s="73"/>
      <c r="D2" s="73"/>
      <c r="E2" s="73"/>
      <c r="F2" s="73"/>
      <c r="G2" s="73"/>
      <c r="H2" s="73"/>
      <c r="I2" s="73"/>
    </row>
    <row r="3" spans="2:9" x14ac:dyDescent="0.2">
      <c r="B3" s="73"/>
      <c r="C3" s="73"/>
      <c r="D3" s="73"/>
      <c r="E3" s="73"/>
      <c r="F3" s="73"/>
      <c r="G3" s="73"/>
      <c r="H3" s="73"/>
      <c r="I3" s="73"/>
    </row>
    <row r="4" spans="2:9" x14ac:dyDescent="0.2">
      <c r="B4" s="73"/>
      <c r="C4" s="73"/>
      <c r="D4" s="73"/>
      <c r="E4" s="73"/>
      <c r="F4" s="73"/>
      <c r="G4" s="73"/>
      <c r="H4" s="73"/>
      <c r="I4" s="73"/>
    </row>
    <row r="5" spans="2:9" x14ac:dyDescent="0.2">
      <c r="B5" s="73"/>
      <c r="C5" s="73"/>
      <c r="D5" s="73"/>
      <c r="E5" s="73"/>
      <c r="F5" s="73"/>
      <c r="G5" s="73"/>
      <c r="H5" s="73"/>
      <c r="I5" s="73"/>
    </row>
    <row r="7" spans="2:9" x14ac:dyDescent="0.2">
      <c r="B7" s="12" t="s">
        <v>348</v>
      </c>
    </row>
    <row r="8" spans="2:9" ht="15" customHeight="1" x14ac:dyDescent="0.2">
      <c r="B8" s="103" t="s">
        <v>377</v>
      </c>
      <c r="C8" s="103"/>
      <c r="D8" s="103"/>
      <c r="E8" s="103"/>
      <c r="F8" s="103"/>
      <c r="G8" s="103"/>
      <c r="H8" s="103"/>
      <c r="I8" s="103"/>
    </row>
    <row r="9" spans="2:9" x14ac:dyDescent="0.2">
      <c r="B9" s="103"/>
      <c r="C9" s="103"/>
      <c r="D9" s="103"/>
      <c r="E9" s="103"/>
      <c r="F9" s="103"/>
      <c r="G9" s="103"/>
      <c r="H9" s="103"/>
      <c r="I9" s="103"/>
    </row>
    <row r="10" spans="2:9" x14ac:dyDescent="0.2">
      <c r="B10" s="103"/>
      <c r="C10" s="103"/>
      <c r="D10" s="103"/>
      <c r="E10" s="103"/>
      <c r="F10" s="103"/>
      <c r="G10" s="103"/>
      <c r="H10" s="103"/>
      <c r="I10" s="103"/>
    </row>
    <row r="11" spans="2:9" x14ac:dyDescent="0.2">
      <c r="B11" s="103"/>
      <c r="C11" s="103"/>
      <c r="D11" s="103"/>
      <c r="E11" s="103"/>
      <c r="F11" s="103"/>
      <c r="G11" s="103"/>
      <c r="H11" s="103"/>
      <c r="I11" s="103"/>
    </row>
    <row r="12" spans="2:9" x14ac:dyDescent="0.2">
      <c r="B12" s="103"/>
      <c r="C12" s="103"/>
      <c r="D12" s="103"/>
      <c r="E12" s="103"/>
      <c r="F12" s="103"/>
      <c r="G12" s="103"/>
      <c r="H12" s="103"/>
      <c r="I12" s="103"/>
    </row>
    <row r="13" spans="2:9" x14ac:dyDescent="0.2">
      <c r="B13" s="72"/>
      <c r="C13" s="72"/>
      <c r="D13" s="72"/>
      <c r="E13" s="72"/>
      <c r="F13" s="72"/>
      <c r="G13" s="72"/>
      <c r="H13" s="72"/>
      <c r="I13" s="72"/>
    </row>
    <row r="14" spans="2:9" x14ac:dyDescent="0.2">
      <c r="B14" s="12" t="s">
        <v>351</v>
      </c>
    </row>
    <row r="15" spans="2:9" x14ac:dyDescent="0.2">
      <c r="B15" s="93" t="s">
        <v>214</v>
      </c>
      <c r="C15" s="14"/>
      <c r="D15" s="14" t="s">
        <v>349</v>
      </c>
      <c r="E15" s="14" t="s">
        <v>198</v>
      </c>
      <c r="F15" s="14" t="s">
        <v>182</v>
      </c>
    </row>
    <row r="16" spans="2:9" x14ac:dyDescent="0.2">
      <c r="B16" t="s">
        <v>164</v>
      </c>
      <c r="D16" s="3">
        <v>5317</v>
      </c>
      <c r="E16" s="3">
        <v>4901</v>
      </c>
      <c r="F16" s="3">
        <v>5326</v>
      </c>
    </row>
    <row r="17" spans="2:9" x14ac:dyDescent="0.2">
      <c r="B17" t="s">
        <v>350</v>
      </c>
      <c r="D17" s="1">
        <v>-4.8000000000000001E-2</v>
      </c>
      <c r="E17" s="1">
        <v>-7.8E-2</v>
      </c>
      <c r="F17" s="1">
        <v>8.6999999999999994E-2</v>
      </c>
    </row>
    <row r="18" spans="2:9" x14ac:dyDescent="0.2">
      <c r="B18" t="s">
        <v>1</v>
      </c>
      <c r="D18">
        <v>725</v>
      </c>
      <c r="E18">
        <v>722</v>
      </c>
      <c r="F18">
        <v>836</v>
      </c>
    </row>
    <row r="19" spans="2:9" x14ac:dyDescent="0.2">
      <c r="B19" t="s">
        <v>266</v>
      </c>
      <c r="D19" s="1">
        <v>0.13600000000000001</v>
      </c>
      <c r="E19" s="1">
        <v>0.14699999999999999</v>
      </c>
      <c r="F19" s="1">
        <v>0.157</v>
      </c>
    </row>
    <row r="20" spans="2:9" x14ac:dyDescent="0.2">
      <c r="B20" t="s">
        <v>2</v>
      </c>
      <c r="D20">
        <v>523</v>
      </c>
      <c r="E20">
        <v>537</v>
      </c>
      <c r="F20">
        <v>629</v>
      </c>
    </row>
    <row r="21" spans="2:9" x14ac:dyDescent="0.2">
      <c r="B21" t="s">
        <v>305</v>
      </c>
      <c r="D21">
        <v>8.8000000000000007</v>
      </c>
      <c r="E21">
        <v>16.8</v>
      </c>
      <c r="F21">
        <v>136.5</v>
      </c>
    </row>
    <row r="22" spans="2:9" x14ac:dyDescent="0.2">
      <c r="B22" t="s">
        <v>29</v>
      </c>
      <c r="D22">
        <v>381</v>
      </c>
      <c r="E22">
        <v>292</v>
      </c>
      <c r="F22">
        <v>375</v>
      </c>
    </row>
    <row r="24" spans="2:9" x14ac:dyDescent="0.2">
      <c r="B24" s="93" t="s">
        <v>214</v>
      </c>
      <c r="C24" s="14"/>
      <c r="D24" s="14" t="s">
        <v>349</v>
      </c>
      <c r="E24" s="14" t="s">
        <v>198</v>
      </c>
      <c r="F24" s="14" t="s">
        <v>182</v>
      </c>
    </row>
    <row r="25" spans="2:9" x14ac:dyDescent="0.2">
      <c r="B25" t="str">
        <f>HistoricalFS!B79</f>
        <v>Cash from Operations</v>
      </c>
      <c r="D25" s="62">
        <f>HistoricalFS!E79</f>
        <v>682.2</v>
      </c>
      <c r="E25" s="62">
        <f>HistoricalFS!F79</f>
        <v>943.4</v>
      </c>
      <c r="F25" s="62">
        <f>HistoricalFS!G79</f>
        <v>583.79999999999995</v>
      </c>
    </row>
    <row r="26" spans="2:9" x14ac:dyDescent="0.2">
      <c r="B26" t="str">
        <f>HistoricalFS!B102</f>
        <v>FCF (CFO − CapEx)</v>
      </c>
      <c r="D26" s="62">
        <f>HistoricalFS!E102</f>
        <v>415.00000000000006</v>
      </c>
      <c r="E26" s="62">
        <f>HistoricalFS!F102</f>
        <v>531.70000000000005</v>
      </c>
      <c r="F26" s="62">
        <f>HistoricalFS!G102</f>
        <v>-71</v>
      </c>
    </row>
    <row r="27" spans="2:9" x14ac:dyDescent="0.2">
      <c r="B27" t="str">
        <f>HistoricalFS!B46</f>
        <v>Cash &amp; Cash Equivalents</v>
      </c>
      <c r="D27" s="62">
        <f>HistoricalFS!E46</f>
        <v>358.6</v>
      </c>
      <c r="E27" s="62">
        <f>HistoricalFS!F46</f>
        <v>252.2</v>
      </c>
      <c r="F27" s="62">
        <f>HistoricalFS!G46</f>
        <v>388.9</v>
      </c>
    </row>
    <row r="29" spans="2:9" x14ac:dyDescent="0.2">
      <c r="B29" s="14" t="s">
        <v>181</v>
      </c>
      <c r="C29" s="61">
        <v>2026</v>
      </c>
      <c r="D29" s="61" t="s">
        <v>183</v>
      </c>
      <c r="E29" s="61">
        <v>2026</v>
      </c>
      <c r="F29" s="14"/>
      <c r="G29" s="53"/>
      <c r="H29" s="53"/>
      <c r="I29" s="53"/>
    </row>
    <row r="30" spans="2:9" x14ac:dyDescent="0.2">
      <c r="B30" s="14"/>
      <c r="C30" s="61" t="s">
        <v>164</v>
      </c>
      <c r="D30" s="61" t="s">
        <v>184</v>
      </c>
      <c r="E30" s="61" t="s">
        <v>187</v>
      </c>
      <c r="F30" s="6" t="s">
        <v>185</v>
      </c>
      <c r="G30" s="6"/>
      <c r="H30" s="6"/>
      <c r="I30" s="6"/>
    </row>
    <row r="31" spans="2:9" x14ac:dyDescent="0.2">
      <c r="B31" t="str">
        <f>Segments!B5</f>
        <v>UK Sports</v>
      </c>
      <c r="C31" s="62">
        <f>Segments!E6</f>
        <v>2570.1999999999998</v>
      </c>
      <c r="D31" s="63">
        <f>Segments!F6</f>
        <v>-6.0019024712281821E-2</v>
      </c>
      <c r="E31" s="63">
        <f>Segments!E9</f>
        <v>0.51100000000000001</v>
      </c>
      <c r="F31" s="94" t="s">
        <v>352</v>
      </c>
      <c r="G31" s="94"/>
      <c r="H31" s="94"/>
      <c r="I31" s="94"/>
    </row>
    <row r="32" spans="2:9" x14ac:dyDescent="0.2">
      <c r="B32" t="str">
        <f>Segments!B14</f>
        <v>Premium Lifestyle</v>
      </c>
      <c r="C32" s="62">
        <f>Segments!E15</f>
        <v>975.7</v>
      </c>
      <c r="D32" s="63">
        <f>Segments!F15</f>
        <v>-0.1092806067188814</v>
      </c>
      <c r="E32" s="63">
        <f>Segments!E18</f>
        <v>0.42299999999999999</v>
      </c>
      <c r="F32" s="95" t="s">
        <v>353</v>
      </c>
    </row>
    <row r="33" spans="2:6" x14ac:dyDescent="0.2">
      <c r="B33" t="str">
        <f>Segments!B23</f>
        <v>International</v>
      </c>
      <c r="C33" s="62">
        <f>Segments!E24</f>
        <v>1603.6</v>
      </c>
      <c r="D33" s="63">
        <f>Segments!F24</f>
        <v>0.269766299307169</v>
      </c>
      <c r="E33" s="63">
        <f>Segments!E27</f>
        <v>0.437</v>
      </c>
      <c r="F33" s="95" t="s">
        <v>354</v>
      </c>
    </row>
    <row r="34" spans="2:6" x14ac:dyDescent="0.2">
      <c r="B34" t="str">
        <f>Segments!B32</f>
        <v>Property</v>
      </c>
      <c r="C34" s="62">
        <f>Segments!E33</f>
        <v>96</v>
      </c>
      <c r="D34" s="63">
        <f>Segments!F33</f>
        <v>0.14912801101297468</v>
      </c>
      <c r="E34" s="63">
        <f>Segments!E35</f>
        <v>1</v>
      </c>
      <c r="F34" s="95" t="s">
        <v>355</v>
      </c>
    </row>
    <row r="35" spans="2:6" x14ac:dyDescent="0.2">
      <c r="B35" t="str">
        <f>Segments!B39</f>
        <v>Financial Services</v>
      </c>
      <c r="C35">
        <f>Segments!E40</f>
        <v>80.400000000000006</v>
      </c>
      <c r="D35" s="63">
        <f>Segments!F40</f>
        <v>-0.14892754460955304</v>
      </c>
      <c r="E35" s="63">
        <f>Segments!E43</f>
        <v>0.65200000000000002</v>
      </c>
      <c r="F35" s="95" t="s">
        <v>188</v>
      </c>
    </row>
    <row r="53" spans="2:12" x14ac:dyDescent="0.2">
      <c r="B53" s="17" t="s">
        <v>245</v>
      </c>
      <c r="C53" s="53"/>
      <c r="D53" s="17">
        <v>2026</v>
      </c>
      <c r="E53" s="16"/>
      <c r="F53" s="16"/>
      <c r="G53" s="16"/>
      <c r="H53" s="16"/>
      <c r="I53" s="16"/>
      <c r="J53" s="16"/>
      <c r="K53" s="16"/>
      <c r="L53" s="16"/>
    </row>
    <row r="54" spans="2:12" x14ac:dyDescent="0.2">
      <c r="B54" s="16" t="s">
        <v>246</v>
      </c>
      <c r="D54" s="69">
        <f>'Capital structure'!D6</f>
        <v>388.9</v>
      </c>
      <c r="E54" s="16"/>
      <c r="F54" s="16"/>
      <c r="G54" s="16"/>
      <c r="H54" s="16"/>
      <c r="I54" s="16"/>
      <c r="J54" s="16"/>
      <c r="K54" s="16"/>
      <c r="L54" s="16"/>
    </row>
    <row r="55" spans="2:12" x14ac:dyDescent="0.2">
      <c r="B55" s="16" t="s">
        <v>233</v>
      </c>
      <c r="D55" s="49">
        <f>'Capital structure'!D7</f>
        <v>1651.3</v>
      </c>
      <c r="E55" s="16"/>
      <c r="F55" s="16"/>
      <c r="G55" s="16"/>
      <c r="H55" s="16"/>
      <c r="I55" s="16"/>
      <c r="J55" s="16"/>
      <c r="K55" s="16"/>
      <c r="L55" s="16"/>
    </row>
    <row r="56" spans="2:12" x14ac:dyDescent="0.2">
      <c r="B56" s="16" t="s">
        <v>202</v>
      </c>
      <c r="D56" s="69">
        <f>'Capital structure'!D9</f>
        <v>878.6</v>
      </c>
      <c r="E56" s="16"/>
      <c r="F56" s="16"/>
      <c r="G56" s="16"/>
      <c r="H56" s="16"/>
      <c r="I56" s="16"/>
      <c r="J56" s="16"/>
      <c r="K56" s="16"/>
      <c r="L56" s="16"/>
    </row>
    <row r="57" spans="2:12" x14ac:dyDescent="0.2">
      <c r="B57" s="16" t="s">
        <v>247</v>
      </c>
      <c r="D57" s="49">
        <f>'Capital structure'!D11</f>
        <v>1262.4000000000001</v>
      </c>
      <c r="E57" s="16"/>
      <c r="F57" s="16"/>
      <c r="G57" s="16"/>
      <c r="H57" s="16"/>
      <c r="I57" s="16"/>
      <c r="J57" s="16"/>
      <c r="K57" s="16"/>
      <c r="L57" s="16"/>
    </row>
    <row r="58" spans="2:12" x14ac:dyDescent="0.2">
      <c r="B58" s="16" t="s">
        <v>242</v>
      </c>
      <c r="D58" s="70">
        <f>'Capital structure'!D30</f>
        <v>1.9750029900729578</v>
      </c>
      <c r="E58" s="16"/>
      <c r="F58" s="16"/>
      <c r="G58" s="16"/>
      <c r="H58" s="16"/>
      <c r="I58" s="16"/>
      <c r="J58" s="16"/>
      <c r="K58" s="16"/>
      <c r="L58" s="16"/>
    </row>
    <row r="59" spans="2:12" x14ac:dyDescent="0.2">
      <c r="B59" s="16" t="s">
        <v>236</v>
      </c>
      <c r="D59" s="70">
        <f>'Capital structure'!D31</f>
        <v>1.5098672407606746</v>
      </c>
      <c r="E59" s="16"/>
      <c r="F59" s="16"/>
      <c r="G59" s="16"/>
      <c r="H59" s="16"/>
      <c r="I59" s="16"/>
      <c r="J59" s="16"/>
      <c r="K59" s="16"/>
      <c r="L59" s="16"/>
    </row>
    <row r="60" spans="2:12" x14ac:dyDescent="0.2">
      <c r="B60" s="16" t="s">
        <v>248</v>
      </c>
      <c r="D60" s="70">
        <f>'Capital structure'!D33</f>
        <v>6.1252747252747257</v>
      </c>
      <c r="E60" s="16"/>
      <c r="F60" s="16"/>
      <c r="G60" s="16"/>
      <c r="H60" s="16"/>
      <c r="I60" s="16"/>
      <c r="J60" s="16"/>
      <c r="K60" s="16"/>
      <c r="L60" s="16"/>
    </row>
    <row r="61" spans="2:12" x14ac:dyDescent="0.2">
      <c r="B61" s="16"/>
      <c r="C61" s="16"/>
      <c r="D61" s="16"/>
      <c r="E61" s="16"/>
      <c r="F61" s="16"/>
      <c r="G61" s="16"/>
      <c r="H61" s="16"/>
      <c r="I61" s="16"/>
      <c r="J61" s="16"/>
      <c r="K61" s="16"/>
      <c r="L61" s="16"/>
    </row>
    <row r="62" spans="2:12" x14ac:dyDescent="0.2">
      <c r="B62" s="17" t="s">
        <v>249</v>
      </c>
      <c r="C62" s="17"/>
      <c r="D62" s="17"/>
      <c r="E62" s="17"/>
      <c r="F62" s="17"/>
      <c r="G62" s="68"/>
      <c r="H62" s="68"/>
      <c r="I62" s="16"/>
      <c r="J62" s="16"/>
      <c r="K62" s="16"/>
      <c r="L62" s="16"/>
    </row>
    <row r="63" spans="2:12" x14ac:dyDescent="0.2">
      <c r="C63" s="64" t="s">
        <v>210</v>
      </c>
      <c r="F63" s="64" t="s">
        <v>201</v>
      </c>
    </row>
    <row r="64" spans="2:12" x14ac:dyDescent="0.2">
      <c r="B64" t="s">
        <v>250</v>
      </c>
      <c r="C64" s="64" t="s">
        <v>356</v>
      </c>
      <c r="F64" s="64" t="s">
        <v>253</v>
      </c>
    </row>
    <row r="65" spans="2:9" x14ac:dyDescent="0.2">
      <c r="B65" t="s">
        <v>251</v>
      </c>
      <c r="C65" s="64" t="s">
        <v>252</v>
      </c>
      <c r="F65" s="64" t="s">
        <v>254</v>
      </c>
    </row>
    <row r="66" spans="2:9" x14ac:dyDescent="0.2">
      <c r="B66" t="s">
        <v>357</v>
      </c>
      <c r="C66" s="64" t="s">
        <v>358</v>
      </c>
      <c r="F66" s="64" t="s">
        <v>359</v>
      </c>
    </row>
    <row r="67" spans="2:9" x14ac:dyDescent="0.2">
      <c r="B67" t="s">
        <v>209</v>
      </c>
      <c r="C67" s="64" t="s">
        <v>227</v>
      </c>
      <c r="F67" s="64" t="s">
        <v>231</v>
      </c>
    </row>
    <row r="68" spans="2:9" x14ac:dyDescent="0.2">
      <c r="B68" t="s">
        <v>361</v>
      </c>
      <c r="C68" s="96">
        <v>47300</v>
      </c>
      <c r="F68" s="64" t="s">
        <v>255</v>
      </c>
    </row>
    <row r="69" spans="2:9" x14ac:dyDescent="0.2">
      <c r="B69" t="s">
        <v>208</v>
      </c>
      <c r="C69" s="64" t="s">
        <v>211</v>
      </c>
      <c r="F69" s="64" t="s">
        <v>212</v>
      </c>
    </row>
    <row r="71" spans="2:9" x14ac:dyDescent="0.2">
      <c r="B71" t="s">
        <v>360</v>
      </c>
    </row>
    <row r="72" spans="2:9" x14ac:dyDescent="0.2">
      <c r="B72" s="73" t="s">
        <v>376</v>
      </c>
      <c r="C72" s="73"/>
      <c r="D72" s="73"/>
      <c r="E72" s="73"/>
      <c r="F72" s="73"/>
      <c r="G72" s="73"/>
      <c r="H72" s="73"/>
      <c r="I72" s="73"/>
    </row>
    <row r="73" spans="2:9" ht="15" customHeight="1" x14ac:dyDescent="0.2">
      <c r="B73" s="73"/>
      <c r="C73" s="73"/>
      <c r="D73" s="73"/>
      <c r="E73" s="73"/>
      <c r="F73" s="73"/>
      <c r="G73" s="73"/>
      <c r="H73" s="73"/>
      <c r="I73" s="73"/>
    </row>
    <row r="74" spans="2:9" x14ac:dyDescent="0.2">
      <c r="B74" s="73"/>
      <c r="C74" s="73"/>
      <c r="D74" s="73"/>
      <c r="E74" s="73"/>
      <c r="F74" s="73"/>
      <c r="G74" s="73"/>
      <c r="H74" s="73"/>
      <c r="I74" s="73"/>
    </row>
    <row r="76" spans="2:9" x14ac:dyDescent="0.2">
      <c r="B76" s="14" t="s">
        <v>263</v>
      </c>
      <c r="C76" s="53"/>
      <c r="D76" s="53"/>
      <c r="E76" s="53"/>
      <c r="F76" s="53"/>
      <c r="G76" s="53"/>
      <c r="H76" s="53"/>
      <c r="I76" s="53"/>
    </row>
    <row r="77" spans="2:9" x14ac:dyDescent="0.2">
      <c r="B77" s="74" t="s">
        <v>256</v>
      </c>
      <c r="C77" s="99" t="s">
        <v>363</v>
      </c>
      <c r="D77" s="99"/>
      <c r="E77" s="99"/>
      <c r="F77" s="99"/>
      <c r="G77" s="99"/>
      <c r="H77" s="99"/>
      <c r="I77" s="99"/>
    </row>
    <row r="78" spans="2:9" x14ac:dyDescent="0.2">
      <c r="B78" s="78" t="s">
        <v>258</v>
      </c>
      <c r="C78" s="98" t="s">
        <v>379</v>
      </c>
      <c r="D78" s="98"/>
      <c r="E78" s="98"/>
      <c r="F78" s="98"/>
      <c r="G78" s="98"/>
      <c r="H78" s="98"/>
      <c r="I78" s="98"/>
    </row>
    <row r="79" spans="2:9" x14ac:dyDescent="0.2">
      <c r="B79" s="11" t="s">
        <v>262</v>
      </c>
      <c r="C79" s="98" t="s">
        <v>380</v>
      </c>
      <c r="D79" s="98"/>
      <c r="E79" s="98"/>
      <c r="F79" s="98"/>
      <c r="G79" s="98"/>
      <c r="H79" s="98"/>
      <c r="I79" s="98"/>
    </row>
    <row r="81" spans="2:10" x14ac:dyDescent="0.2">
      <c r="B81" s="97">
        <f>'Data Sheet'!C236</f>
        <v>2026</v>
      </c>
      <c r="C81" s="61" t="str">
        <f>'Data Sheet'!D236</f>
        <v>Frasers</v>
      </c>
      <c r="D81" s="61" t="str">
        <f>'Data Sheet'!E236</f>
        <v>JD Sports</v>
      </c>
      <c r="E81" s="61" t="s">
        <v>362</v>
      </c>
      <c r="F81" s="61" t="str">
        <f>'Data Sheet'!G236</f>
        <v>Next</v>
      </c>
    </row>
    <row r="82" spans="2:10" x14ac:dyDescent="0.2">
      <c r="B82" t="str">
        <f>'Data Sheet'!C237</f>
        <v xml:space="preserve">Revenue </v>
      </c>
      <c r="C82" s="29">
        <f>'Data Sheet'!D237</f>
        <v>5325.9</v>
      </c>
      <c r="D82" s="55">
        <f>'Data Sheet'!E237</f>
        <v>12662</v>
      </c>
      <c r="E82" s="55">
        <f>'Data Sheet'!F237</f>
        <v>17273.599999999999</v>
      </c>
      <c r="F82" s="55">
        <f>'Data Sheet'!G237</f>
        <v>6901.3</v>
      </c>
    </row>
    <row r="83" spans="2:10" x14ac:dyDescent="0.2">
      <c r="B83" t="str">
        <f>'Data Sheet'!C238</f>
        <v>EBITDA</v>
      </c>
      <c r="C83" s="69">
        <f>'Data Sheet'!D238</f>
        <v>836.1</v>
      </c>
      <c r="D83" s="55">
        <f>'Data Sheet'!E238</f>
        <v>1338</v>
      </c>
      <c r="E83" s="55">
        <f>'Data Sheet'!F238</f>
        <v>807.3</v>
      </c>
      <c r="F83" s="55">
        <f>'Data Sheet'!G238</f>
        <v>1416</v>
      </c>
    </row>
    <row r="84" spans="2:10" x14ac:dyDescent="0.2">
      <c r="B84" t="str">
        <f>'Data Sheet'!C239</f>
        <v>EBITDA Margin</v>
      </c>
      <c r="C84" s="48">
        <f>'Data Sheet'!D239</f>
        <v>0.157</v>
      </c>
      <c r="D84" s="48">
        <f>'Data Sheet'!E239</f>
        <v>0.1057</v>
      </c>
      <c r="E84" s="48">
        <f>'Data Sheet'!F239</f>
        <v>4.6699999999999998E-2</v>
      </c>
      <c r="F84" s="48">
        <f>'Data Sheet'!G239</f>
        <v>0.20519999999999999</v>
      </c>
    </row>
    <row r="85" spans="2:10" x14ac:dyDescent="0.2">
      <c r="B85" t="str">
        <f>'Data Sheet'!C240</f>
        <v>Net Debt</v>
      </c>
      <c r="C85" s="29">
        <f>'Data Sheet'!D240</f>
        <v>1262.4000000000001</v>
      </c>
      <c r="D85" s="16">
        <f>'Data Sheet'!E240</f>
        <v>311</v>
      </c>
      <c r="E85" s="29">
        <f>'Data Sheet'!F240</f>
        <v>-338.2</v>
      </c>
      <c r="F85" s="16">
        <f>'Data Sheet'!G240</f>
        <v>713.4</v>
      </c>
    </row>
    <row r="86" spans="2:10" x14ac:dyDescent="0.2">
      <c r="B86" t="str">
        <f>'Data Sheet'!C241</f>
        <v>Net Debt / EBITDA</v>
      </c>
      <c r="C86" s="70">
        <f>'Data Sheet'!D241</f>
        <v>1.5098672407606746</v>
      </c>
      <c r="D86" s="70">
        <f>'Data Sheet'!E241</f>
        <v>0.23243647234678624</v>
      </c>
      <c r="E86" s="70">
        <f>'Data Sheet'!F241</f>
        <v>-0.41892728849250588</v>
      </c>
      <c r="F86" s="70">
        <f>'Data Sheet'!G241</f>
        <v>0.50381355932203387</v>
      </c>
    </row>
    <row r="87" spans="2:10" x14ac:dyDescent="0.2">
      <c r="B87" t="str">
        <f>'Data Sheet'!C242</f>
        <v>EBITDA / Net Interest Expenses</v>
      </c>
      <c r="C87" s="70">
        <f>'Data Sheet'!D242</f>
        <v>6.1252747252747257</v>
      </c>
      <c r="D87" s="70">
        <f>'Data Sheet'!E242</f>
        <v>7.1550802139037435</v>
      </c>
      <c r="E87" s="70">
        <f>'Data Sheet'!F242</f>
        <v>5.7540983606557372</v>
      </c>
      <c r="F87" s="70">
        <f>'Data Sheet'!G242</f>
        <v>16.619718309859156</v>
      </c>
    </row>
    <row r="88" spans="2:10" x14ac:dyDescent="0.2">
      <c r="J88" s="12"/>
    </row>
    <row r="89" spans="2:10" x14ac:dyDescent="0.2">
      <c r="B89" s="6" t="s">
        <v>381</v>
      </c>
      <c r="C89" s="6"/>
      <c r="D89" s="6"/>
      <c r="E89" s="6"/>
    </row>
    <row r="90" spans="2:10" x14ac:dyDescent="0.2">
      <c r="C90" t="str">
        <f>'Scenario Analysis'!C4</f>
        <v>Base (2026)</v>
      </c>
      <c r="D90" t="str">
        <f>'Scenario Analysis'!D4</f>
        <v>Downside</v>
      </c>
      <c r="E90" t="str">
        <f>'Scenario Analysis'!E4</f>
        <v>Severe Downside</v>
      </c>
    </row>
    <row r="91" spans="2:10" x14ac:dyDescent="0.2">
      <c r="B91" t="str">
        <f>'Scenario Analysis'!B6</f>
        <v>EBITDA</v>
      </c>
      <c r="C91">
        <f>'Scenario Analysis'!C6</f>
        <v>836.1</v>
      </c>
      <c r="D91">
        <f>'Scenario Analysis'!D6</f>
        <v>668.88000000000011</v>
      </c>
      <c r="E91">
        <f>'Scenario Analysis'!E6</f>
        <v>501.65999999999997</v>
      </c>
    </row>
    <row r="92" spans="2:10" x14ac:dyDescent="0.2">
      <c r="B92" s="83" t="str">
        <f>'Scenario Analysis'!B7</f>
        <v>change</v>
      </c>
      <c r="C92" s="83"/>
      <c r="D92" s="101">
        <f>'Scenario Analysis'!D7</f>
        <v>-0.2</v>
      </c>
      <c r="E92" s="101">
        <f>'Scenario Analysis'!E7</f>
        <v>-0.4</v>
      </c>
      <c r="J92" s="12"/>
    </row>
    <row r="93" spans="2:10" x14ac:dyDescent="0.2">
      <c r="B93" t="str">
        <f>'Scenario Analysis'!B8</f>
        <v>EBITDA Margin</v>
      </c>
      <c r="C93" s="59">
        <f>'Scenario Analysis'!C8</f>
        <v>0.157</v>
      </c>
      <c r="D93" s="59">
        <f>'Scenario Analysis'!D8</f>
        <v>0.12559004111981076</v>
      </c>
      <c r="E93" s="59">
        <f>'Scenario Analysis'!E8</f>
        <v>9.4192530839858055E-2</v>
      </c>
    </row>
    <row r="94" spans="2:10" x14ac:dyDescent="0.2">
      <c r="B94" t="str">
        <f>'Scenario Analysis'!B10</f>
        <v>Net Debt / EBITDA</v>
      </c>
      <c r="C94" s="70">
        <f>'Scenario Analysis'!C10</f>
        <v>1.5098672407606746</v>
      </c>
      <c r="D94" s="70">
        <f>'Scenario Analysis'!D10</f>
        <v>1.8873340509508429</v>
      </c>
      <c r="E94" s="70">
        <f>'Scenario Analysis'!E10</f>
        <v>2.5164454012677915</v>
      </c>
    </row>
    <row r="95" spans="2:10" x14ac:dyDescent="0.2">
      <c r="B95" t="str">
        <f>'Scenario Analysis'!B12</f>
        <v>EBITDA/Net Interest Exp</v>
      </c>
      <c r="C95" s="70">
        <f>'Scenario Analysis'!C12</f>
        <v>6.1252747252747257</v>
      </c>
      <c r="D95" s="70">
        <f>'Scenario Analysis'!D12</f>
        <v>4.9002197802197811</v>
      </c>
      <c r="E95" s="70">
        <f>'Scenario Analysis'!E12</f>
        <v>3.6751648351648347</v>
      </c>
    </row>
    <row r="96" spans="2:10" x14ac:dyDescent="0.2">
      <c r="J96" s="12"/>
    </row>
    <row r="97" spans="2:10" x14ac:dyDescent="0.2">
      <c r="B97" t="s">
        <v>317</v>
      </c>
      <c r="C97" s="62"/>
      <c r="E97" s="102">
        <f>'Scenario Analysis'!C25</f>
        <v>1557</v>
      </c>
    </row>
    <row r="98" spans="2:10" x14ac:dyDescent="0.2">
      <c r="B98" t="s">
        <v>337</v>
      </c>
      <c r="E98">
        <f>'Scenario Analysis'!C40</f>
        <v>3208.0000000000005</v>
      </c>
    </row>
    <row r="99" spans="2:10" x14ac:dyDescent="0.2">
      <c r="B99" t="s">
        <v>338</v>
      </c>
      <c r="E99" s="62">
        <f>'Scenario Analysis'!C41</f>
        <v>2476.8000000000002</v>
      </c>
    </row>
    <row r="100" spans="2:10" x14ac:dyDescent="0.2">
      <c r="B100" t="s">
        <v>365</v>
      </c>
      <c r="E100" s="62">
        <f>'Scenario Analysis'!C42</f>
        <v>731.20000000000027</v>
      </c>
      <c r="J100" s="12"/>
    </row>
    <row r="101" spans="2:10" x14ac:dyDescent="0.2">
      <c r="B101" s="13" t="s">
        <v>340</v>
      </c>
      <c r="C101" s="11"/>
      <c r="D101" s="11"/>
      <c r="E101" s="92">
        <f>'Scenario Analysis'!C43</f>
        <v>0.46962106615285826</v>
      </c>
    </row>
    <row r="105" spans="2:10" x14ac:dyDescent="0.2">
      <c r="B105" s="100" t="s">
        <v>285</v>
      </c>
      <c r="C105" s="100"/>
      <c r="D105" s="100"/>
      <c r="E105" s="100"/>
      <c r="F105" s="100"/>
      <c r="G105" s="53"/>
      <c r="H105" s="53"/>
      <c r="I105" s="53"/>
    </row>
    <row r="107" spans="2:10" x14ac:dyDescent="0.2">
      <c r="B107" s="73" t="s">
        <v>366</v>
      </c>
      <c r="C107" s="73"/>
      <c r="D107" s="73"/>
      <c r="E107" s="73"/>
      <c r="F107" s="73"/>
      <c r="G107" s="73"/>
      <c r="H107" s="73"/>
      <c r="I107" s="73"/>
    </row>
    <row r="108" spans="2:10" x14ac:dyDescent="0.2">
      <c r="B108" s="73"/>
      <c r="C108" s="73"/>
      <c r="D108" s="73"/>
      <c r="E108" s="73"/>
      <c r="F108" s="73"/>
      <c r="G108" s="73"/>
      <c r="H108" s="73"/>
      <c r="I108" s="73"/>
    </row>
    <row r="109" spans="2:10" x14ac:dyDescent="0.2">
      <c r="B109" t="s">
        <v>367</v>
      </c>
    </row>
    <row r="110" spans="2:10" x14ac:dyDescent="0.2">
      <c r="B110" s="73" t="s">
        <v>378</v>
      </c>
      <c r="C110" s="73"/>
      <c r="D110" s="73"/>
      <c r="E110" s="73"/>
      <c r="F110" s="73"/>
      <c r="G110" s="73"/>
      <c r="H110" s="73"/>
      <c r="I110" s="73"/>
    </row>
    <row r="111" spans="2:10" x14ac:dyDescent="0.2">
      <c r="B111" s="73"/>
      <c r="C111" s="73"/>
      <c r="D111" s="73"/>
      <c r="E111" s="73"/>
      <c r="F111" s="73"/>
      <c r="G111" s="73"/>
      <c r="H111" s="73"/>
      <c r="I111" s="73"/>
    </row>
    <row r="112" spans="2:10" x14ac:dyDescent="0.2">
      <c r="B112" t="s">
        <v>368</v>
      </c>
    </row>
    <row r="114" spans="2:2" x14ac:dyDescent="0.2">
      <c r="B114" s="14" t="s">
        <v>274</v>
      </c>
    </row>
    <row r="115" spans="2:2" x14ac:dyDescent="0.2">
      <c r="B115" t="s">
        <v>369</v>
      </c>
    </row>
    <row r="116" spans="2:2" x14ac:dyDescent="0.2">
      <c r="B116" t="s">
        <v>370</v>
      </c>
    </row>
    <row r="117" spans="2:2" x14ac:dyDescent="0.2">
      <c r="B117" t="s">
        <v>371</v>
      </c>
    </row>
    <row r="119" spans="2:2" x14ac:dyDescent="0.2">
      <c r="B119" s="14" t="s">
        <v>275</v>
      </c>
    </row>
    <row r="120" spans="2:2" x14ac:dyDescent="0.2">
      <c r="B120" t="s">
        <v>372</v>
      </c>
    </row>
    <row r="121" spans="2:2" x14ac:dyDescent="0.2">
      <c r="B121" t="s">
        <v>373</v>
      </c>
    </row>
    <row r="122" spans="2:2" x14ac:dyDescent="0.2">
      <c r="B122" t="s">
        <v>374</v>
      </c>
    </row>
    <row r="123" spans="2:2" x14ac:dyDescent="0.2">
      <c r="B123" t="s">
        <v>375</v>
      </c>
    </row>
  </sheetData>
  <sheetProtection sheet="1" objects="1" scenarios="1"/>
  <mergeCells count="9">
    <mergeCell ref="B107:I108"/>
    <mergeCell ref="B110:I111"/>
    <mergeCell ref="B72:I74"/>
    <mergeCell ref="B105:F105"/>
    <mergeCell ref="B89:E89"/>
    <mergeCell ref="B2:I5"/>
    <mergeCell ref="B8:I12"/>
    <mergeCell ref="F31:I31"/>
    <mergeCell ref="F30:I30"/>
  </mergeCells>
  <pageMargins left="0.25" right="0.25"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78D2B-7D00-EA40-8BBF-1076C52FECAC}">
  <sheetPr>
    <tabColor theme="0"/>
  </sheetPr>
  <dimension ref="A1"/>
  <sheetViews>
    <sheetView workbookViewId="0">
      <selection activeCell="D40" sqref="D40"/>
    </sheetView>
  </sheetViews>
  <sheetFormatPr baseColWidth="10" defaultRowHeight="15" x14ac:dyDescent="0.2"/>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CE1AF-AD75-1042-B0C6-D4CC27577519}">
  <dimension ref="B5:M102"/>
  <sheetViews>
    <sheetView showGridLines="0" zoomScale="150" zoomScaleNormal="143" workbookViewId="0">
      <pane ySplit="6" topLeftCell="A11" activePane="bottomLeft" state="frozen"/>
      <selection pane="bottomLeft" activeCell="G53" sqref="G53"/>
    </sheetView>
  </sheetViews>
  <sheetFormatPr baseColWidth="10" defaultRowHeight="15" x14ac:dyDescent="0.2"/>
  <cols>
    <col min="1" max="1" width="2" style="16" customWidth="1"/>
    <col min="2" max="2" width="39.5" style="16" bestFit="1" customWidth="1"/>
    <col min="3" max="16384" width="10.83203125" style="16"/>
  </cols>
  <sheetData>
    <row r="5" spans="2:13" x14ac:dyDescent="0.2">
      <c r="B5" s="35" t="s">
        <v>157</v>
      </c>
      <c r="C5" s="35"/>
      <c r="D5" s="35"/>
      <c r="E5" s="35"/>
      <c r="F5" s="35"/>
      <c r="G5" s="35"/>
    </row>
    <row r="6" spans="2:13" x14ac:dyDescent="0.2">
      <c r="B6" s="17" t="s">
        <v>148</v>
      </c>
      <c r="C6" s="18">
        <v>2022</v>
      </c>
      <c r="D6" s="18">
        <v>2023</v>
      </c>
      <c r="E6" s="18">
        <v>2024</v>
      </c>
      <c r="F6" s="18">
        <v>2025</v>
      </c>
      <c r="G6" s="18">
        <v>2026</v>
      </c>
    </row>
    <row r="7" spans="2:13" x14ac:dyDescent="0.2">
      <c r="B7" s="19"/>
      <c r="C7" s="20"/>
      <c r="D7" s="20"/>
      <c r="E7" s="20"/>
      <c r="F7" s="20"/>
      <c r="G7" s="20"/>
    </row>
    <row r="8" spans="2:13" x14ac:dyDescent="0.2">
      <c r="B8" s="21" t="s">
        <v>149</v>
      </c>
      <c r="C8" s="22"/>
      <c r="D8" s="22"/>
      <c r="E8" s="22"/>
      <c r="F8" s="22"/>
      <c r="G8" s="22"/>
    </row>
    <row r="9" spans="2:13" x14ac:dyDescent="0.2">
      <c r="C9" s="23"/>
      <c r="D9" s="23"/>
      <c r="E9" s="23"/>
      <c r="F9" s="23"/>
      <c r="G9" s="23"/>
    </row>
    <row r="10" spans="2:13" x14ac:dyDescent="0.2">
      <c r="B10" s="24" t="s">
        <v>4</v>
      </c>
      <c r="C10" s="33">
        <f>'Data Sheet'!D9</f>
        <v>4805.3</v>
      </c>
      <c r="D10" s="33">
        <f>'Data Sheet'!E9</f>
        <v>5586</v>
      </c>
      <c r="E10" s="33">
        <f>'Data Sheet'!F9</f>
        <v>5317</v>
      </c>
      <c r="F10" s="33">
        <f>'Data Sheet'!G9</f>
        <v>4900.8999999999996</v>
      </c>
      <c r="G10" s="33">
        <f>'Data Sheet'!H9</f>
        <v>5325.9</v>
      </c>
    </row>
    <row r="11" spans="2:13" x14ac:dyDescent="0.2">
      <c r="B11" s="26" t="s">
        <v>5</v>
      </c>
      <c r="C11" s="27">
        <f>'Data Sheet'!D10</f>
        <v>0.32550000000000001</v>
      </c>
      <c r="D11" s="27">
        <f>'Data Sheet'!E10</f>
        <v>0.16250000000000001</v>
      </c>
      <c r="E11" s="27">
        <f>'Data Sheet'!F10</f>
        <v>-4.82E-2</v>
      </c>
      <c r="F11" s="27">
        <f>'Data Sheet'!G10</f>
        <v>-7.8299999999999995E-2</v>
      </c>
      <c r="G11" s="27">
        <f>'Data Sheet'!H10</f>
        <v>8.6699999999999999E-2</v>
      </c>
    </row>
    <row r="12" spans="2:13" x14ac:dyDescent="0.2">
      <c r="B12" s="26"/>
      <c r="C12" s="27"/>
      <c r="D12" s="27"/>
      <c r="E12" s="27"/>
      <c r="F12" s="27"/>
      <c r="G12" s="27"/>
    </row>
    <row r="13" spans="2:13" x14ac:dyDescent="0.2">
      <c r="B13" s="24" t="s">
        <v>150</v>
      </c>
      <c r="C13" s="25">
        <f>'Data Sheet'!D11</f>
        <v>2708.1</v>
      </c>
      <c r="D13" s="25">
        <f>'Data Sheet'!E11</f>
        <v>3175.5</v>
      </c>
      <c r="E13" s="25">
        <f>'Data Sheet'!F11</f>
        <v>2887.2</v>
      </c>
      <c r="F13" s="25">
        <f>'Data Sheet'!G11</f>
        <v>2587.5</v>
      </c>
      <c r="G13" s="25">
        <f>'Data Sheet'!H11</f>
        <v>2721.6</v>
      </c>
    </row>
    <row r="14" spans="2:13" x14ac:dyDescent="0.2">
      <c r="B14" s="24"/>
      <c r="C14" s="25"/>
      <c r="D14" s="25"/>
      <c r="E14" s="25"/>
      <c r="F14" s="25"/>
      <c r="G14" s="25"/>
    </row>
    <row r="15" spans="2:13" x14ac:dyDescent="0.2">
      <c r="B15" s="28" t="s">
        <v>7</v>
      </c>
      <c r="C15" s="34">
        <f>C10-C13</f>
        <v>2097.2000000000003</v>
      </c>
      <c r="D15" s="34">
        <f t="shared" ref="D15:G15" si="0">D10-D13</f>
        <v>2410.5</v>
      </c>
      <c r="E15" s="34">
        <f t="shared" si="0"/>
        <v>2429.8000000000002</v>
      </c>
      <c r="F15" s="34">
        <f t="shared" si="0"/>
        <v>2313.3999999999996</v>
      </c>
      <c r="G15" s="34">
        <f t="shared" si="0"/>
        <v>2604.2999999999997</v>
      </c>
      <c r="I15" s="29"/>
      <c r="J15" s="29"/>
      <c r="K15" s="29"/>
      <c r="L15" s="29"/>
      <c r="M15" s="29"/>
    </row>
    <row r="16" spans="2:13" x14ac:dyDescent="0.2">
      <c r="B16" s="26" t="s">
        <v>8</v>
      </c>
      <c r="C16" s="27">
        <f>'Data Sheet'!D13</f>
        <v>0.37</v>
      </c>
      <c r="D16" s="27">
        <f>'Data Sheet'!E13</f>
        <v>0.14940000000000001</v>
      </c>
      <c r="E16" s="27">
        <f>'Data Sheet'!F13</f>
        <v>8.0000000000000002E-3</v>
      </c>
      <c r="F16" s="27">
        <f>'Data Sheet'!G13</f>
        <v>-4.7899999999999998E-2</v>
      </c>
      <c r="G16" s="27">
        <f>'Data Sheet'!H13</f>
        <v>0.12570000000000001</v>
      </c>
    </row>
    <row r="17" spans="2:9" x14ac:dyDescent="0.2">
      <c r="B17" s="26" t="s">
        <v>9</v>
      </c>
      <c r="C17" s="27">
        <f>'Data Sheet'!D14</f>
        <v>0.43640000000000001</v>
      </c>
      <c r="D17" s="27">
        <f>'Data Sheet'!E14</f>
        <v>0.43149999999999999</v>
      </c>
      <c r="E17" s="27">
        <f>'Data Sheet'!F14</f>
        <v>0.45700000000000002</v>
      </c>
      <c r="F17" s="27">
        <f>'Data Sheet'!G14</f>
        <v>0.47199999999999998</v>
      </c>
      <c r="G17" s="27">
        <f>'Data Sheet'!H14</f>
        <v>0.48899999999999999</v>
      </c>
    </row>
    <row r="18" spans="2:9" x14ac:dyDescent="0.2">
      <c r="B18" s="26"/>
      <c r="C18" s="27"/>
      <c r="D18" s="27"/>
      <c r="E18" s="27"/>
      <c r="F18" s="27"/>
      <c r="G18" s="27"/>
    </row>
    <row r="19" spans="2:9" x14ac:dyDescent="0.2">
      <c r="B19" s="24" t="s">
        <v>154</v>
      </c>
      <c r="C19" s="33">
        <f>'Data Sheet'!D15</f>
        <v>1554</v>
      </c>
      <c r="D19" s="33">
        <f>'Data Sheet'!E15</f>
        <v>1961.6</v>
      </c>
      <c r="E19" s="33">
        <f>'Data Sheet'!F15</f>
        <v>1906.6</v>
      </c>
      <c r="F19" s="33">
        <f>'Data Sheet'!G15</f>
        <v>1776.9</v>
      </c>
      <c r="G19" s="33">
        <f>'Data Sheet'!H15</f>
        <v>1975.5</v>
      </c>
    </row>
    <row r="20" spans="2:9" x14ac:dyDescent="0.2">
      <c r="B20" s="24"/>
      <c r="C20" s="25"/>
      <c r="D20" s="25"/>
      <c r="E20" s="25"/>
      <c r="F20" s="25"/>
      <c r="G20" s="25"/>
    </row>
    <row r="21" spans="2:9" x14ac:dyDescent="0.2">
      <c r="B21" s="28" t="s">
        <v>1</v>
      </c>
      <c r="C21" s="34">
        <f>'Data Sheet'!D46</f>
        <v>725.6</v>
      </c>
      <c r="D21" s="34">
        <f>'Data Sheet'!E46</f>
        <v>642.9</v>
      </c>
      <c r="E21" s="34">
        <f>'Data Sheet'!F46</f>
        <v>724.6</v>
      </c>
      <c r="F21" s="34">
        <f>'Data Sheet'!G46</f>
        <v>722.3</v>
      </c>
      <c r="G21" s="34">
        <f>'Data Sheet'!H46</f>
        <v>836.1</v>
      </c>
    </row>
    <row r="22" spans="2:9" x14ac:dyDescent="0.2">
      <c r="B22" s="26" t="s">
        <v>42</v>
      </c>
      <c r="C22" s="27">
        <f>'Data Sheet'!D47</f>
        <v>0.53210000000000002</v>
      </c>
      <c r="D22" s="27">
        <f>'Data Sheet'!E47</f>
        <v>-0.114</v>
      </c>
      <c r="E22" s="27">
        <f>'Data Sheet'!F47</f>
        <v>0.12709999999999999</v>
      </c>
      <c r="F22" s="27">
        <f>'Data Sheet'!G47</f>
        <v>-3.2000000000000002E-3</v>
      </c>
      <c r="G22" s="27">
        <f>'Data Sheet'!H47</f>
        <v>0.15759999999999999</v>
      </c>
    </row>
    <row r="23" spans="2:9" x14ac:dyDescent="0.2">
      <c r="B23" s="26" t="s">
        <v>43</v>
      </c>
      <c r="C23" s="27">
        <f>'Data Sheet'!D48</f>
        <v>0.151</v>
      </c>
      <c r="D23" s="27">
        <f>'Data Sheet'!E48</f>
        <v>0.11509999999999999</v>
      </c>
      <c r="E23" s="27">
        <f>'Data Sheet'!F48</f>
        <v>0.1363</v>
      </c>
      <c r="F23" s="27">
        <f>'Data Sheet'!G48</f>
        <v>0.1474</v>
      </c>
      <c r="G23" s="27">
        <f>'Data Sheet'!H48</f>
        <v>0.157</v>
      </c>
    </row>
    <row r="24" spans="2:9" x14ac:dyDescent="0.2">
      <c r="B24" s="26"/>
      <c r="C24" s="27"/>
      <c r="D24" s="27"/>
      <c r="E24" s="27"/>
      <c r="F24" s="27"/>
      <c r="G24" s="27"/>
    </row>
    <row r="25" spans="2:9" x14ac:dyDescent="0.2">
      <c r="B25" s="24" t="s">
        <v>156</v>
      </c>
      <c r="C25" s="33">
        <f>C21-C27</f>
        <v>182.39999999999998</v>
      </c>
      <c r="D25" s="33">
        <f t="shared" ref="D25:G25" si="1">D21-D27</f>
        <v>194</v>
      </c>
      <c r="E25" s="33">
        <f t="shared" si="1"/>
        <v>201.39999999999998</v>
      </c>
      <c r="F25" s="33">
        <f t="shared" si="1"/>
        <v>185.79999999999995</v>
      </c>
      <c r="G25" s="33">
        <f t="shared" si="1"/>
        <v>207.30000000000007</v>
      </c>
    </row>
    <row r="26" spans="2:9" x14ac:dyDescent="0.2">
      <c r="B26" s="24"/>
      <c r="C26" s="25"/>
      <c r="D26" s="25"/>
      <c r="E26" s="25"/>
      <c r="F26" s="25"/>
      <c r="G26" s="25"/>
    </row>
    <row r="27" spans="2:9" x14ac:dyDescent="0.2">
      <c r="B27" s="28" t="s">
        <v>2</v>
      </c>
      <c r="C27" s="34">
        <f>'Data Sheet'!D49</f>
        <v>543.20000000000005</v>
      </c>
      <c r="D27" s="34">
        <f>'Data Sheet'!E49</f>
        <v>448.9</v>
      </c>
      <c r="E27" s="34">
        <f>'Data Sheet'!F49</f>
        <v>523.20000000000005</v>
      </c>
      <c r="F27" s="34">
        <f>'Data Sheet'!G49</f>
        <v>536.5</v>
      </c>
      <c r="G27" s="34">
        <f>'Data Sheet'!H49</f>
        <v>628.79999999999995</v>
      </c>
    </row>
    <row r="28" spans="2:9" x14ac:dyDescent="0.2">
      <c r="B28" s="26" t="s">
        <v>14</v>
      </c>
      <c r="C28" s="27">
        <f>C27/C10</f>
        <v>0.11304184962437309</v>
      </c>
      <c r="D28" s="27">
        <f>D27/D10</f>
        <v>8.0361618331543136E-2</v>
      </c>
      <c r="E28" s="27">
        <f>E27/E10</f>
        <v>9.8401354147075432E-2</v>
      </c>
      <c r="F28" s="27">
        <f>F27/F10</f>
        <v>0.10946968924075171</v>
      </c>
      <c r="G28" s="27">
        <f>G27/G10</f>
        <v>0.11806455247000507</v>
      </c>
    </row>
    <row r="29" spans="2:9" x14ac:dyDescent="0.2">
      <c r="B29" s="26"/>
      <c r="C29" s="27"/>
      <c r="D29" s="27"/>
      <c r="E29" s="27"/>
      <c r="F29" s="27"/>
      <c r="G29" s="27"/>
    </row>
    <row r="30" spans="2:9" x14ac:dyDescent="0.2">
      <c r="B30" s="24" t="s">
        <v>15</v>
      </c>
      <c r="C30" s="33">
        <f>'Data Sheet'!D19</f>
        <v>15.5</v>
      </c>
      <c r="D30" s="33">
        <f>'Data Sheet'!E19</f>
        <v>61.7</v>
      </c>
      <c r="E30" s="33">
        <f>'Data Sheet'!F19</f>
        <v>8.8000000000000007</v>
      </c>
      <c r="F30" s="33">
        <f>'Data Sheet'!G19</f>
        <v>16.8</v>
      </c>
      <c r="G30" s="33">
        <f>'Data Sheet'!H19</f>
        <v>136.5</v>
      </c>
      <c r="I30" s="29"/>
    </row>
    <row r="31" spans="2:9" x14ac:dyDescent="0.2">
      <c r="B31" s="26" t="s">
        <v>16</v>
      </c>
      <c r="C31" s="27">
        <f>'Data Sheet'!D20</f>
        <v>-0.79520000000000002</v>
      </c>
      <c r="D31" s="27">
        <f>'Data Sheet'!E20</f>
        <v>2.9805999999999999</v>
      </c>
      <c r="E31" s="27">
        <f>'Data Sheet'!F20</f>
        <v>-0.85740000000000005</v>
      </c>
      <c r="F31" s="27">
        <f>'Data Sheet'!G20</f>
        <v>0.90910000000000002</v>
      </c>
      <c r="G31" s="27">
        <f>'Data Sheet'!H20</f>
        <v>7.125</v>
      </c>
    </row>
    <row r="32" spans="2:9" x14ac:dyDescent="0.2">
      <c r="B32" s="26"/>
      <c r="C32" s="27"/>
      <c r="D32" s="27"/>
      <c r="E32" s="27"/>
      <c r="F32" s="27"/>
      <c r="G32" s="27"/>
    </row>
    <row r="33" spans="2:7" x14ac:dyDescent="0.2">
      <c r="B33" s="24" t="s">
        <v>17</v>
      </c>
      <c r="C33" s="33">
        <f>'Data Sheet'!D21</f>
        <v>-32.799999999999997</v>
      </c>
      <c r="D33" s="33">
        <f>'Data Sheet'!E21</f>
        <v>-60.6</v>
      </c>
      <c r="E33" s="33">
        <f>'Data Sheet'!F21</f>
        <v>-85.4</v>
      </c>
      <c r="F33" s="33">
        <f>'Data Sheet'!G21</f>
        <v>-111.6</v>
      </c>
      <c r="G33" s="33">
        <f>'Data Sheet'!H21</f>
        <v>-150.80000000000001</v>
      </c>
    </row>
    <row r="34" spans="2:7" x14ac:dyDescent="0.2">
      <c r="B34" s="24"/>
      <c r="C34" s="25"/>
      <c r="D34" s="25"/>
      <c r="E34" s="25"/>
      <c r="F34" s="25"/>
      <c r="G34" s="25"/>
    </row>
    <row r="35" spans="2:7" x14ac:dyDescent="0.2">
      <c r="B35" s="28" t="s">
        <v>23</v>
      </c>
      <c r="C35" s="34">
        <f>'Data Sheet'!D27</f>
        <v>335.6</v>
      </c>
      <c r="D35" s="34">
        <f>'Data Sheet'!E27</f>
        <v>638</v>
      </c>
      <c r="E35" s="34">
        <f>'Data Sheet'!F27</f>
        <v>501</v>
      </c>
      <c r="F35" s="34">
        <f>'Data Sheet'!G27</f>
        <v>379.9</v>
      </c>
      <c r="G35" s="34">
        <f>'Data Sheet'!H27</f>
        <v>527.79999999999995</v>
      </c>
    </row>
    <row r="36" spans="2:7" x14ac:dyDescent="0.2">
      <c r="B36" s="36"/>
      <c r="C36" s="57"/>
      <c r="D36" s="57"/>
      <c r="E36" s="57"/>
      <c r="F36" s="57"/>
      <c r="G36" s="57"/>
    </row>
    <row r="37" spans="2:7" x14ac:dyDescent="0.2">
      <c r="B37" s="24" t="s">
        <v>26</v>
      </c>
      <c r="C37" s="33">
        <f>'Data Sheet'!D30</f>
        <v>78.7</v>
      </c>
      <c r="D37" s="33">
        <f>'Data Sheet'!E30</f>
        <v>159.30000000000001</v>
      </c>
      <c r="E37" s="33">
        <f>'Data Sheet'!F30</f>
        <v>107.9</v>
      </c>
      <c r="F37" s="33">
        <f>'Data Sheet'!G30</f>
        <v>92.7</v>
      </c>
      <c r="G37" s="33">
        <f>'Data Sheet'!H30</f>
        <v>184</v>
      </c>
    </row>
    <row r="38" spans="2:7" x14ac:dyDescent="0.2">
      <c r="B38" s="24"/>
      <c r="C38" s="33"/>
      <c r="D38" s="33"/>
      <c r="E38" s="33"/>
      <c r="F38" s="33"/>
      <c r="G38" s="33"/>
    </row>
    <row r="39" spans="2:7" x14ac:dyDescent="0.2">
      <c r="B39" s="28" t="s">
        <v>29</v>
      </c>
      <c r="C39" s="34">
        <f>'Data Sheet'!D33</f>
        <v>249.8</v>
      </c>
      <c r="D39" s="34">
        <f>'Data Sheet'!E33</f>
        <v>491.7</v>
      </c>
      <c r="E39" s="34">
        <f>'Data Sheet'!F33</f>
        <v>380.8</v>
      </c>
      <c r="F39" s="34">
        <f>'Data Sheet'!G33</f>
        <v>292.10000000000002</v>
      </c>
      <c r="G39" s="34">
        <f>'Data Sheet'!H33</f>
        <v>375</v>
      </c>
    </row>
    <row r="40" spans="2:7" x14ac:dyDescent="0.2">
      <c r="B40" s="26" t="s">
        <v>30</v>
      </c>
      <c r="C40" s="27">
        <f>'Data Sheet'!D34</f>
        <v>4.0095999999999998</v>
      </c>
      <c r="D40" s="27">
        <f>'Data Sheet'!E34</f>
        <v>0.96840000000000004</v>
      </c>
      <c r="E40" s="27">
        <f>'Data Sheet'!F34</f>
        <v>-0.22550000000000001</v>
      </c>
      <c r="F40" s="27">
        <f>'Data Sheet'!G34</f>
        <v>-0.2329</v>
      </c>
      <c r="G40" s="27">
        <f>'Data Sheet'!H34</f>
        <v>0.2838</v>
      </c>
    </row>
    <row r="41" spans="2:7" x14ac:dyDescent="0.2">
      <c r="B41" s="26" t="s">
        <v>31</v>
      </c>
      <c r="C41" s="27">
        <f>'Data Sheet'!D35</f>
        <v>5.1999999999999998E-2</v>
      </c>
      <c r="D41" s="27">
        <f>'Data Sheet'!E35</f>
        <v>8.7999999999999995E-2</v>
      </c>
      <c r="E41" s="27">
        <f>'Data Sheet'!F35</f>
        <v>7.1599999999999997E-2</v>
      </c>
      <c r="F41" s="27">
        <f>'Data Sheet'!G35</f>
        <v>5.96E-2</v>
      </c>
      <c r="G41" s="27">
        <f>'Data Sheet'!H35</f>
        <v>7.0400000000000004E-2</v>
      </c>
    </row>
    <row r="42" spans="2:7" x14ac:dyDescent="0.2">
      <c r="B42" s="24"/>
      <c r="C42" s="25"/>
      <c r="D42" s="25"/>
      <c r="E42" s="25"/>
      <c r="F42" s="25"/>
      <c r="G42" s="25"/>
    </row>
    <row r="43" spans="2:7" x14ac:dyDescent="0.2">
      <c r="B43" s="21" t="s">
        <v>151</v>
      </c>
      <c r="C43" s="22"/>
      <c r="D43" s="22"/>
      <c r="E43" s="22"/>
      <c r="F43" s="22"/>
      <c r="G43" s="22"/>
    </row>
    <row r="44" spans="2:7" x14ac:dyDescent="0.2">
      <c r="B44" s="24"/>
      <c r="C44" s="25"/>
      <c r="D44" s="25"/>
      <c r="E44" s="25"/>
      <c r="F44" s="25"/>
      <c r="G44" s="25"/>
    </row>
    <row r="45" spans="2:7" x14ac:dyDescent="0.2">
      <c r="B45" s="30" t="s">
        <v>45</v>
      </c>
      <c r="C45" s="33">
        <f>'Data Sheet'!D56</f>
        <v>2612.3000000000002</v>
      </c>
      <c r="D45" s="33">
        <f>'Data Sheet'!E56</f>
        <v>2597.1999999999998</v>
      </c>
      <c r="E45" s="33">
        <f>'Data Sheet'!F56</f>
        <v>2476</v>
      </c>
      <c r="F45" s="33">
        <f>'Data Sheet'!G56</f>
        <v>2355.6</v>
      </c>
      <c r="G45" s="33">
        <f>'Data Sheet'!H56</f>
        <v>2701.1</v>
      </c>
    </row>
    <row r="46" spans="2:7" x14ac:dyDescent="0.2">
      <c r="B46" s="16" t="s">
        <v>46</v>
      </c>
      <c r="C46" s="33">
        <f>'Data Sheet'!D57</f>
        <v>336.8</v>
      </c>
      <c r="D46" s="33">
        <f>'Data Sheet'!E57</f>
        <v>332.9</v>
      </c>
      <c r="E46" s="33">
        <f>'Data Sheet'!F57</f>
        <v>358.6</v>
      </c>
      <c r="F46" s="33">
        <f>'Data Sheet'!G57</f>
        <v>252.2</v>
      </c>
      <c r="G46" s="33">
        <f>'Data Sheet'!H57</f>
        <v>388.9</v>
      </c>
    </row>
    <row r="47" spans="2:7" x14ac:dyDescent="0.2">
      <c r="B47" s="16" t="s">
        <v>49</v>
      </c>
      <c r="C47" s="33">
        <f>'Data Sheet'!D60</f>
        <v>485</v>
      </c>
      <c r="D47" s="33">
        <f>'Data Sheet'!E60</f>
        <v>418.5</v>
      </c>
      <c r="E47" s="33">
        <f>'Data Sheet'!F60</f>
        <v>432.5</v>
      </c>
      <c r="F47" s="33">
        <f>'Data Sheet'!G60</f>
        <v>318.10000000000002</v>
      </c>
      <c r="G47" s="33">
        <f>'Data Sheet'!H60</f>
        <v>526.9</v>
      </c>
    </row>
    <row r="48" spans="2:7" x14ac:dyDescent="0.2">
      <c r="B48" s="16" t="s">
        <v>52</v>
      </c>
      <c r="C48" s="33">
        <f>'Data Sheet'!D63</f>
        <v>1277.5999999999999</v>
      </c>
      <c r="D48" s="33">
        <f>'Data Sheet'!E63</f>
        <v>1464.9</v>
      </c>
      <c r="E48" s="33">
        <f>'Data Sheet'!F63</f>
        <v>1355.3</v>
      </c>
      <c r="F48" s="33">
        <f>'Data Sheet'!G63</f>
        <v>1128.3</v>
      </c>
      <c r="G48" s="33">
        <f>'Data Sheet'!H63</f>
        <v>1279.8</v>
      </c>
    </row>
    <row r="49" spans="2:7" x14ac:dyDescent="0.2">
      <c r="B49" s="16" t="s">
        <v>58</v>
      </c>
      <c r="C49" s="33">
        <f>'Data Sheet'!D69</f>
        <v>400.4</v>
      </c>
      <c r="D49" s="33">
        <f>'Data Sheet'!E69</f>
        <v>240.7</v>
      </c>
      <c r="E49" s="33">
        <f>'Data Sheet'!F69</f>
        <v>204.9</v>
      </c>
      <c r="F49" s="33">
        <f>'Data Sheet'!G69</f>
        <v>561.79999999999995</v>
      </c>
      <c r="G49" s="33">
        <f>'Data Sheet'!H69</f>
        <v>408.7</v>
      </c>
    </row>
    <row r="50" spans="2:7" x14ac:dyDescent="0.2">
      <c r="C50" s="33"/>
      <c r="D50" s="33"/>
      <c r="E50" s="33"/>
      <c r="F50" s="33"/>
      <c r="G50" s="33"/>
    </row>
    <row r="51" spans="2:7" x14ac:dyDescent="0.2">
      <c r="B51" s="32" t="s">
        <v>59</v>
      </c>
      <c r="C51" s="56">
        <f>'Data Sheet'!D70</f>
        <v>4142.7</v>
      </c>
      <c r="D51" s="56">
        <f>'Data Sheet'!E70</f>
        <v>4302.7</v>
      </c>
      <c r="E51" s="56">
        <f>'Data Sheet'!F70</f>
        <v>4454.8999999999996</v>
      </c>
      <c r="F51" s="56">
        <f>'Data Sheet'!G70</f>
        <v>5130.7</v>
      </c>
      <c r="G51" s="56">
        <f>'Data Sheet'!H70</f>
        <v>6486.5</v>
      </c>
    </row>
    <row r="52" spans="2:7" x14ac:dyDescent="0.2">
      <c r="B52" s="16" t="s">
        <v>61</v>
      </c>
      <c r="C52" s="33">
        <f>'Data Sheet'!D72</f>
        <v>1011</v>
      </c>
      <c r="D52" s="33">
        <f>'Data Sheet'!E72</f>
        <v>1132</v>
      </c>
      <c r="E52" s="33">
        <f>'Data Sheet'!F72</f>
        <v>962.6</v>
      </c>
      <c r="F52" s="33">
        <f>'Data Sheet'!G72</f>
        <v>1097.2</v>
      </c>
      <c r="G52" s="33">
        <f>'Data Sheet'!H72</f>
        <v>1426.1</v>
      </c>
    </row>
    <row r="53" spans="2:7" x14ac:dyDescent="0.2">
      <c r="B53" s="16" t="s">
        <v>64</v>
      </c>
      <c r="C53" s="33">
        <f>'Data Sheet'!D75</f>
        <v>206.6</v>
      </c>
      <c r="D53" s="33">
        <f>'Data Sheet'!E75</f>
        <v>306.5</v>
      </c>
      <c r="E53" s="33">
        <f>'Data Sheet'!F75</f>
        <v>513.4</v>
      </c>
      <c r="F53" s="33">
        <f>'Data Sheet'!G75</f>
        <v>995.5</v>
      </c>
      <c r="G53" s="33">
        <f>'Data Sheet'!H75</f>
        <v>1280.0999999999999</v>
      </c>
    </row>
    <row r="54" spans="2:7" x14ac:dyDescent="0.2">
      <c r="B54" s="16" t="s">
        <v>65</v>
      </c>
      <c r="C54" s="33">
        <f>'Data Sheet'!D76</f>
        <v>120.6</v>
      </c>
      <c r="D54" s="33">
        <f>'Data Sheet'!E76</f>
        <v>24.1</v>
      </c>
      <c r="E54" s="33">
        <f>'Data Sheet'!F76</f>
        <v>42.2</v>
      </c>
      <c r="F54" s="33">
        <f>'Data Sheet'!G76</f>
        <v>58.5</v>
      </c>
      <c r="G54" s="33">
        <f>'Data Sheet'!H76</f>
        <v>99.4</v>
      </c>
    </row>
    <row r="55" spans="2:7" x14ac:dyDescent="0.2">
      <c r="B55" s="16" t="s">
        <v>66</v>
      </c>
      <c r="C55" s="33">
        <f>'Data Sheet'!D77</f>
        <v>44.4</v>
      </c>
      <c r="D55" s="33">
        <f>'Data Sheet'!E77</f>
        <v>9.9</v>
      </c>
      <c r="E55" s="33">
        <f>'Data Sheet'!F77</f>
        <v>9.9</v>
      </c>
      <c r="F55" s="33">
        <f>'Data Sheet'!G77</f>
        <v>30.4</v>
      </c>
      <c r="G55" s="33">
        <f>'Data Sheet'!H77</f>
        <v>81</v>
      </c>
    </row>
    <row r="56" spans="2:7" x14ac:dyDescent="0.2">
      <c r="B56" s="16" t="s">
        <v>69</v>
      </c>
      <c r="C56" s="33">
        <f>'Data Sheet'!D80</f>
        <v>192.2</v>
      </c>
      <c r="D56" s="33">
        <f>'Data Sheet'!E80</f>
        <v>242.9</v>
      </c>
      <c r="E56" s="33">
        <f>'Data Sheet'!F80</f>
        <v>460.7</v>
      </c>
      <c r="F56" s="33">
        <f>'Data Sheet'!G80</f>
        <v>623.9</v>
      </c>
      <c r="G56" s="33">
        <f>'Data Sheet'!H80</f>
        <v>979.8</v>
      </c>
    </row>
    <row r="57" spans="2:7" x14ac:dyDescent="0.2">
      <c r="C57" s="33"/>
      <c r="D57" s="33"/>
      <c r="E57" s="33"/>
      <c r="F57" s="33"/>
      <c r="G57" s="33"/>
    </row>
    <row r="58" spans="2:7" x14ac:dyDescent="0.2">
      <c r="B58" s="30" t="s">
        <v>75</v>
      </c>
      <c r="C58" s="33">
        <f>'Data Sheet'!D86</f>
        <v>1027.5999999999999</v>
      </c>
      <c r="D58" s="33">
        <f>'Data Sheet'!E86</f>
        <v>1016.9</v>
      </c>
      <c r="E58" s="33">
        <f>'Data Sheet'!F86</f>
        <v>964.8</v>
      </c>
      <c r="F58" s="33">
        <f>'Data Sheet'!G86</f>
        <v>1236.8</v>
      </c>
      <c r="G58" s="33">
        <f>'Data Sheet'!H86</f>
        <v>1500.4</v>
      </c>
    </row>
    <row r="59" spans="2:7" x14ac:dyDescent="0.2">
      <c r="B59" s="16" t="s">
        <v>76</v>
      </c>
      <c r="C59" s="33">
        <f>'Data Sheet'!D87</f>
        <v>358.1</v>
      </c>
      <c r="D59" s="33">
        <f>'Data Sheet'!E87</f>
        <v>375</v>
      </c>
      <c r="E59" s="33">
        <f>'Data Sheet'!F87</f>
        <v>335.7</v>
      </c>
      <c r="F59" s="33">
        <f>'Data Sheet'!G87</f>
        <v>339.9</v>
      </c>
      <c r="G59" s="33">
        <f>'Data Sheet'!H87</f>
        <v>457.7</v>
      </c>
    </row>
    <row r="60" spans="2:7" x14ac:dyDescent="0.2">
      <c r="B60" s="16" t="s">
        <v>77</v>
      </c>
      <c r="C60" s="33">
        <f>'Data Sheet'!D88</f>
        <v>269.60000000000002</v>
      </c>
      <c r="D60" s="33">
        <f>'Data Sheet'!E88</f>
        <v>240.9</v>
      </c>
      <c r="E60" s="33">
        <f>'Data Sheet'!F88</f>
        <v>231.7</v>
      </c>
      <c r="F60" s="33">
        <f>'Data Sheet'!G88</f>
        <v>253.9</v>
      </c>
      <c r="G60" s="33">
        <f>'Data Sheet'!H88</f>
        <v>312.8</v>
      </c>
    </row>
    <row r="61" spans="2:7" x14ac:dyDescent="0.2">
      <c r="B61" s="16" t="s">
        <v>78</v>
      </c>
      <c r="C61" s="33" t="str">
        <f>'Data Sheet'!D89</f>
        <v>-</v>
      </c>
      <c r="D61" s="33" t="str">
        <f>'Data Sheet'!E89</f>
        <v>-</v>
      </c>
      <c r="E61" s="33" t="str">
        <f>'Data Sheet'!F89</f>
        <v>-</v>
      </c>
      <c r="F61" s="33" t="str">
        <f>'Data Sheet'!G89</f>
        <v>-</v>
      </c>
      <c r="G61" s="33" t="str">
        <f>'Data Sheet'!H89</f>
        <v>-</v>
      </c>
    </row>
    <row r="62" spans="2:7" x14ac:dyDescent="0.2">
      <c r="B62" s="16" t="s">
        <v>80</v>
      </c>
      <c r="C62" s="33" t="str">
        <f>'Data Sheet'!D91</f>
        <v>-</v>
      </c>
      <c r="D62" s="33" t="str">
        <f>'Data Sheet'!E91</f>
        <v>-</v>
      </c>
      <c r="E62" s="33" t="str">
        <f>'Data Sheet'!F91</f>
        <v>-</v>
      </c>
      <c r="F62" s="33">
        <f>'Data Sheet'!G91</f>
        <v>75</v>
      </c>
      <c r="G62" s="33" t="str">
        <f>'Data Sheet'!H91</f>
        <v>-</v>
      </c>
    </row>
    <row r="63" spans="2:7" x14ac:dyDescent="0.2">
      <c r="B63" s="16" t="s">
        <v>81</v>
      </c>
      <c r="C63" s="33">
        <f>'Data Sheet'!D92</f>
        <v>117</v>
      </c>
      <c r="D63" s="33">
        <f>'Data Sheet'!E92</f>
        <v>119.6</v>
      </c>
      <c r="E63" s="33">
        <f>'Data Sheet'!F92</f>
        <v>112.5</v>
      </c>
      <c r="F63" s="33">
        <f>'Data Sheet'!G92</f>
        <v>109.6</v>
      </c>
      <c r="G63" s="33">
        <f>'Data Sheet'!H92</f>
        <v>164</v>
      </c>
    </row>
    <row r="64" spans="2:7" x14ac:dyDescent="0.2">
      <c r="B64" s="16" t="s">
        <v>82</v>
      </c>
      <c r="C64" s="33">
        <f>'Data Sheet'!D93</f>
        <v>282.89999999999998</v>
      </c>
      <c r="D64" s="33">
        <f>'Data Sheet'!E93</f>
        <v>281.39999999999998</v>
      </c>
      <c r="E64" s="33">
        <f>'Data Sheet'!F93</f>
        <v>284.89999999999998</v>
      </c>
      <c r="F64" s="33">
        <f>'Data Sheet'!G93</f>
        <v>458.4</v>
      </c>
      <c r="G64" s="33">
        <f>'Data Sheet'!H93</f>
        <v>565.9</v>
      </c>
    </row>
    <row r="65" spans="2:7" x14ac:dyDescent="0.2">
      <c r="C65" s="33"/>
      <c r="D65" s="33"/>
      <c r="E65" s="33"/>
      <c r="F65" s="33"/>
      <c r="G65" s="33"/>
    </row>
    <row r="66" spans="2:7" x14ac:dyDescent="0.2">
      <c r="B66" s="30" t="s">
        <v>86</v>
      </c>
      <c r="C66" s="33">
        <f>'Data Sheet'!D97</f>
        <v>2834.1</v>
      </c>
      <c r="D66" s="33">
        <f>'Data Sheet'!E97</f>
        <v>2634.5</v>
      </c>
      <c r="E66" s="33">
        <f>'Data Sheet'!F97</f>
        <v>2581.9</v>
      </c>
      <c r="F66" s="33">
        <f>'Data Sheet'!G97</f>
        <v>3142.6</v>
      </c>
      <c r="G66" s="33">
        <f>'Data Sheet'!H97</f>
        <v>4033.8</v>
      </c>
    </row>
    <row r="67" spans="2:7" x14ac:dyDescent="0.2">
      <c r="B67" s="16" t="s">
        <v>88</v>
      </c>
      <c r="C67" s="33">
        <f>'Data Sheet'!D99</f>
        <v>827.9</v>
      </c>
      <c r="D67" s="33">
        <f>'Data Sheet'!E99</f>
        <v>749.7</v>
      </c>
      <c r="E67" s="33">
        <f>'Data Sheet'!F99</f>
        <v>806.2</v>
      </c>
      <c r="F67" s="33">
        <f>'Data Sheet'!G99</f>
        <v>1118.2</v>
      </c>
      <c r="G67" s="33">
        <f>'Data Sheet'!H99</f>
        <v>1651.3</v>
      </c>
    </row>
    <row r="68" spans="2:7" x14ac:dyDescent="0.2">
      <c r="B68" s="16" t="s">
        <v>89</v>
      </c>
      <c r="C68" s="33">
        <f>'Data Sheet'!D100</f>
        <v>503.6</v>
      </c>
      <c r="D68" s="33">
        <f>'Data Sheet'!E100</f>
        <v>560.29999999999995</v>
      </c>
      <c r="E68" s="33">
        <f>'Data Sheet'!F100</f>
        <v>533.79999999999995</v>
      </c>
      <c r="F68" s="33">
        <f>'Data Sheet'!G100</f>
        <v>558.20000000000005</v>
      </c>
      <c r="G68" s="33">
        <f>'Data Sheet'!H100</f>
        <v>714.6</v>
      </c>
    </row>
    <row r="69" spans="2:7" x14ac:dyDescent="0.2">
      <c r="B69" s="16" t="s">
        <v>90</v>
      </c>
      <c r="C69" s="33">
        <f>'Data Sheet'!D101</f>
        <v>475</v>
      </c>
      <c r="D69" s="33">
        <f>'Data Sheet'!E101</f>
        <v>307.60000000000002</v>
      </c>
      <c r="E69" s="33">
        <f>'Data Sheet'!F101</f>
        <v>277.10000000000002</v>
      </c>
      <c r="F69" s="33">
        <f>'Data Sheet'!G101</f>
        <v>229.4</v>
      </c>
      <c r="G69" s="33">
        <f>'Data Sheet'!H101</f>
        <v>167.5</v>
      </c>
    </row>
    <row r="70" spans="2:7" x14ac:dyDescent="0.2">
      <c r="C70" s="33"/>
      <c r="D70" s="33"/>
      <c r="E70" s="33"/>
      <c r="F70" s="33"/>
      <c r="G70" s="33"/>
    </row>
    <row r="71" spans="2:7" x14ac:dyDescent="0.2">
      <c r="B71" s="30" t="s">
        <v>95</v>
      </c>
      <c r="C71" s="33">
        <f>'Data Sheet'!D106</f>
        <v>1308.5999999999999</v>
      </c>
      <c r="D71" s="33">
        <f>'Data Sheet'!E106</f>
        <v>1668.2</v>
      </c>
      <c r="E71" s="33">
        <f>'Data Sheet'!F106</f>
        <v>1873</v>
      </c>
      <c r="F71" s="33">
        <f>'Data Sheet'!G106</f>
        <v>1988.1</v>
      </c>
      <c r="G71" s="33">
        <f>'Data Sheet'!H106</f>
        <v>2452.6999999999998</v>
      </c>
    </row>
    <row r="72" spans="2:7" x14ac:dyDescent="0.2">
      <c r="B72" s="30"/>
      <c r="C72" s="33"/>
      <c r="D72" s="33"/>
      <c r="E72" s="33"/>
      <c r="F72" s="33"/>
      <c r="G72" s="33"/>
    </row>
    <row r="73" spans="2:7" x14ac:dyDescent="0.2">
      <c r="B73" s="32" t="s">
        <v>107</v>
      </c>
      <c r="C73" s="56">
        <f>'Data Sheet'!D119</f>
        <v>4142.7</v>
      </c>
      <c r="D73" s="56">
        <f>'Data Sheet'!E119</f>
        <v>4302.7</v>
      </c>
      <c r="E73" s="56">
        <f>'Data Sheet'!F119</f>
        <v>4454.8999999999996</v>
      </c>
      <c r="F73" s="56">
        <f>'Data Sheet'!G119</f>
        <v>5130.7</v>
      </c>
      <c r="G73" s="56">
        <f>'Data Sheet'!H119</f>
        <v>6486.5</v>
      </c>
    </row>
    <row r="74" spans="2:7" x14ac:dyDescent="0.2">
      <c r="B74" s="30"/>
      <c r="C74" s="33"/>
      <c r="D74" s="33"/>
      <c r="E74" s="33"/>
      <c r="F74" s="33"/>
      <c r="G74" s="33"/>
    </row>
    <row r="75" spans="2:7" x14ac:dyDescent="0.2">
      <c r="B75" s="30" t="s">
        <v>108</v>
      </c>
      <c r="C75" s="33">
        <f>'Data Sheet'!D120</f>
        <v>1448.5</v>
      </c>
      <c r="D75" s="33">
        <f>'Data Sheet'!E120</f>
        <v>1429.6</v>
      </c>
      <c r="E75" s="33">
        <f>'Data Sheet'!F120</f>
        <v>1452.5</v>
      </c>
      <c r="F75" s="33">
        <f>'Data Sheet'!G120</f>
        <v>1861</v>
      </c>
      <c r="G75" s="33">
        <f>'Data Sheet'!H120</f>
        <v>2529.9</v>
      </c>
    </row>
    <row r="77" spans="2:7" x14ac:dyDescent="0.2">
      <c r="B77" s="21" t="s">
        <v>152</v>
      </c>
      <c r="C77" s="22"/>
      <c r="D77" s="22"/>
      <c r="E77" s="22"/>
      <c r="F77" s="22"/>
      <c r="G77" s="22"/>
    </row>
    <row r="79" spans="2:7" x14ac:dyDescent="0.2">
      <c r="B79" s="32" t="s">
        <v>113</v>
      </c>
      <c r="C79" s="54">
        <f>'Data Sheet'!D129</f>
        <v>620.79999999999995</v>
      </c>
      <c r="D79" s="54">
        <f>'Data Sheet'!E129</f>
        <v>541.70000000000005</v>
      </c>
      <c r="E79" s="54">
        <f>'Data Sheet'!F129</f>
        <v>682.2</v>
      </c>
      <c r="F79" s="54">
        <f>'Data Sheet'!G129</f>
        <v>943.4</v>
      </c>
      <c r="G79" s="54">
        <f>'Data Sheet'!H129</f>
        <v>583.79999999999995</v>
      </c>
    </row>
    <row r="80" spans="2:7" x14ac:dyDescent="0.2">
      <c r="B80" s="16" t="s">
        <v>29</v>
      </c>
      <c r="C80" s="55">
        <f>'Data Sheet'!D131</f>
        <v>249.8</v>
      </c>
      <c r="D80" s="55">
        <f>'Data Sheet'!E131</f>
        <v>491.7</v>
      </c>
      <c r="E80" s="55">
        <f>'Data Sheet'!F131</f>
        <v>380.8</v>
      </c>
      <c r="F80" s="55">
        <f>'Data Sheet'!G131</f>
        <v>292.10000000000002</v>
      </c>
      <c r="G80" s="55">
        <f>'Data Sheet'!H131</f>
        <v>375</v>
      </c>
    </row>
    <row r="81" spans="2:7" x14ac:dyDescent="0.2">
      <c r="B81" s="16" t="s">
        <v>115</v>
      </c>
      <c r="C81" s="55">
        <f>'Data Sheet'!D132</f>
        <v>260</v>
      </c>
      <c r="D81" s="55">
        <f>'Data Sheet'!E132</f>
        <v>269.2</v>
      </c>
      <c r="E81" s="55">
        <f>'Data Sheet'!F132</f>
        <v>284.60000000000002</v>
      </c>
      <c r="F81" s="55">
        <f>'Data Sheet'!G132</f>
        <v>275.39999999999998</v>
      </c>
      <c r="G81" s="55">
        <f>'Data Sheet'!H132</f>
        <v>340.4</v>
      </c>
    </row>
    <row r="82" spans="2:7" x14ac:dyDescent="0.2">
      <c r="B82" s="16" t="s">
        <v>117</v>
      </c>
      <c r="C82" s="55">
        <f>'Data Sheet'!D134</f>
        <v>156</v>
      </c>
      <c r="D82" s="55">
        <f>'Data Sheet'!E134</f>
        <v>21.5</v>
      </c>
      <c r="E82" s="55">
        <f>'Data Sheet'!F134</f>
        <v>40.200000000000003</v>
      </c>
      <c r="F82" s="55">
        <f>'Data Sheet'!G134</f>
        <v>92.6</v>
      </c>
      <c r="G82" s="55">
        <f>'Data Sheet'!H134</f>
        <v>66.8</v>
      </c>
    </row>
    <row r="83" spans="2:7" x14ac:dyDescent="0.2">
      <c r="B83" s="16" t="s">
        <v>118</v>
      </c>
      <c r="C83" s="55">
        <f>'Data Sheet'!D135</f>
        <v>-45</v>
      </c>
      <c r="D83" s="55">
        <f>'Data Sheet'!E135</f>
        <v>-240.7</v>
      </c>
      <c r="E83" s="55">
        <f>'Data Sheet'!F135</f>
        <v>-23.4</v>
      </c>
      <c r="F83" s="55">
        <f>'Data Sheet'!G135</f>
        <v>283.3</v>
      </c>
      <c r="G83" s="55">
        <f>'Data Sheet'!H135</f>
        <v>-198.4</v>
      </c>
    </row>
    <row r="84" spans="2:7" x14ac:dyDescent="0.2">
      <c r="C84" s="55"/>
      <c r="D84" s="55"/>
      <c r="E84" s="55"/>
      <c r="F84" s="55"/>
      <c r="G84" s="55"/>
    </row>
    <row r="85" spans="2:7" x14ac:dyDescent="0.2">
      <c r="B85" s="32" t="s">
        <v>119</v>
      </c>
      <c r="C85" s="54">
        <f>'Data Sheet'!D136</f>
        <v>-229.1</v>
      </c>
      <c r="D85" s="54">
        <f>'Data Sheet'!E136</f>
        <v>-178.3</v>
      </c>
      <c r="E85" s="54">
        <f>'Data Sheet'!F136</f>
        <v>-355.8</v>
      </c>
      <c r="F85" s="54">
        <f>'Data Sheet'!G136</f>
        <v>-1211.5</v>
      </c>
      <c r="G85" s="54">
        <f>'Data Sheet'!H136</f>
        <v>-669</v>
      </c>
    </row>
    <row r="86" spans="2:7" x14ac:dyDescent="0.2">
      <c r="B86" s="16" t="s">
        <v>121</v>
      </c>
      <c r="C86" s="55">
        <f>'Data Sheet'!D138</f>
        <v>-323.2</v>
      </c>
      <c r="D86" s="55">
        <f>'Data Sheet'!E138</f>
        <v>-469.4</v>
      </c>
      <c r="E86" s="55">
        <f>'Data Sheet'!F138</f>
        <v>-267.2</v>
      </c>
      <c r="F86" s="55">
        <f>'Data Sheet'!G138</f>
        <v>-411.7</v>
      </c>
      <c r="G86" s="55">
        <f>'Data Sheet'!H138</f>
        <v>-654.79999999999995</v>
      </c>
    </row>
    <row r="87" spans="2:7" x14ac:dyDescent="0.2">
      <c r="B87" s="16" t="s">
        <v>123</v>
      </c>
      <c r="C87" s="55">
        <f>'Data Sheet'!D140</f>
        <v>-0.2</v>
      </c>
      <c r="D87" s="55">
        <f>'Data Sheet'!E140</f>
        <v>-28</v>
      </c>
      <c r="E87" s="55">
        <f>'Data Sheet'!F140</f>
        <v>-60.9</v>
      </c>
      <c r="F87" s="55">
        <f>'Data Sheet'!G140</f>
        <v>-47.4</v>
      </c>
      <c r="G87" s="55">
        <f>'Data Sheet'!H140</f>
        <v>-121.2</v>
      </c>
    </row>
    <row r="88" spans="2:7" x14ac:dyDescent="0.2">
      <c r="B88" s="16" t="s">
        <v>125</v>
      </c>
      <c r="C88" s="55">
        <f>'Data Sheet'!D142</f>
        <v>88.4</v>
      </c>
      <c r="D88" s="55">
        <f>'Data Sheet'!E142</f>
        <v>304.3</v>
      </c>
      <c r="E88" s="55">
        <f>'Data Sheet'!F142</f>
        <v>-83.6</v>
      </c>
      <c r="F88" s="55">
        <f>'Data Sheet'!G142</f>
        <v>-777.7</v>
      </c>
      <c r="G88" s="55">
        <f>'Data Sheet'!H142</f>
        <v>103.2</v>
      </c>
    </row>
    <row r="89" spans="2:7" x14ac:dyDescent="0.2">
      <c r="C89" s="55"/>
      <c r="D89" s="55"/>
      <c r="E89" s="55"/>
      <c r="F89" s="55"/>
      <c r="G89" s="55"/>
    </row>
    <row r="90" spans="2:7" x14ac:dyDescent="0.2">
      <c r="B90" s="32" t="s">
        <v>126</v>
      </c>
      <c r="C90" s="54">
        <f>'Data Sheet'!D143</f>
        <v>-512</v>
      </c>
      <c r="D90" s="54">
        <f>'Data Sheet'!E143</f>
        <v>-370.9</v>
      </c>
      <c r="E90" s="54">
        <f>'Data Sheet'!F143</f>
        <v>-297.60000000000002</v>
      </c>
      <c r="F90" s="54">
        <f>'Data Sheet'!G143</f>
        <v>161.9</v>
      </c>
      <c r="G90" s="54">
        <f>'Data Sheet'!H143</f>
        <v>216.3</v>
      </c>
    </row>
    <row r="91" spans="2:7" x14ac:dyDescent="0.2">
      <c r="B91" s="16" t="s">
        <v>128</v>
      </c>
      <c r="C91" s="55">
        <f>'Data Sheet'!D145</f>
        <v>1375.9</v>
      </c>
      <c r="D91" s="55">
        <f>'Data Sheet'!E145</f>
        <v>671.3</v>
      </c>
      <c r="E91" s="55">
        <f>'Data Sheet'!F145</f>
        <v>482.1</v>
      </c>
      <c r="F91" s="55">
        <f>'Data Sheet'!G145</f>
        <v>1479.5</v>
      </c>
      <c r="G91" s="55">
        <f>'Data Sheet'!H145</f>
        <v>2400.1</v>
      </c>
    </row>
    <row r="92" spans="2:7" x14ac:dyDescent="0.2">
      <c r="B92" s="16" t="s">
        <v>131</v>
      </c>
      <c r="C92" s="55">
        <f>'Data Sheet'!D148</f>
        <v>-1660.6</v>
      </c>
      <c r="D92" s="55">
        <f>'Data Sheet'!E148</f>
        <v>-835.7</v>
      </c>
      <c r="E92" s="55">
        <f>'Data Sheet'!F148</f>
        <v>-588.4</v>
      </c>
      <c r="F92" s="55">
        <f>'Data Sheet'!G148</f>
        <v>-1234.5</v>
      </c>
      <c r="G92" s="55">
        <f>'Data Sheet'!H148</f>
        <v>-2218.9</v>
      </c>
    </row>
    <row r="93" spans="2:7" x14ac:dyDescent="0.2">
      <c r="B93" s="16" t="s">
        <v>135</v>
      </c>
      <c r="C93" s="55">
        <f>'Data Sheet'!D152</f>
        <v>-193.2</v>
      </c>
      <c r="D93" s="55">
        <f>'Data Sheet'!E152</f>
        <v>-155.30000000000001</v>
      </c>
      <c r="E93" s="55">
        <f>'Data Sheet'!F152</f>
        <v>-126.4</v>
      </c>
      <c r="F93" s="33" t="str">
        <f>'Data Sheet'!G152</f>
        <v>-</v>
      </c>
      <c r="G93" s="55">
        <f>'Data Sheet'!H152</f>
        <v>-18.100000000000001</v>
      </c>
    </row>
    <row r="94" spans="2:7" x14ac:dyDescent="0.2">
      <c r="B94" s="16" t="s">
        <v>140</v>
      </c>
      <c r="C94" s="55">
        <f>'Data Sheet'!D157</f>
        <v>-34.1</v>
      </c>
      <c r="D94" s="55">
        <f>'Data Sheet'!E157</f>
        <v>-51.2</v>
      </c>
      <c r="E94" s="55">
        <f>'Data Sheet'!F157</f>
        <v>-64.900000000000006</v>
      </c>
      <c r="F94" s="55">
        <f>'Data Sheet'!G157</f>
        <v>-83.1</v>
      </c>
      <c r="G94" s="55">
        <f>'Data Sheet'!H157</f>
        <v>53.2</v>
      </c>
    </row>
    <row r="95" spans="2:7" x14ac:dyDescent="0.2">
      <c r="B95" s="16" t="s">
        <v>141</v>
      </c>
      <c r="C95" s="55">
        <f>'Data Sheet'!D158</f>
        <v>0.1</v>
      </c>
      <c r="D95" s="55">
        <f>'Data Sheet'!E158</f>
        <v>3.6</v>
      </c>
      <c r="E95" s="55">
        <f>'Data Sheet'!F158</f>
        <v>-3.1</v>
      </c>
      <c r="F95" s="55">
        <f>'Data Sheet'!G158</f>
        <v>-0.2</v>
      </c>
      <c r="G95" s="55">
        <f>'Data Sheet'!H158</f>
        <v>5.6</v>
      </c>
    </row>
    <row r="96" spans="2:7" x14ac:dyDescent="0.2">
      <c r="C96" s="55"/>
      <c r="D96" s="55"/>
      <c r="E96" s="55"/>
      <c r="F96" s="55"/>
      <c r="G96" s="55"/>
    </row>
    <row r="97" spans="2:7" x14ac:dyDescent="0.2">
      <c r="B97" s="32" t="s">
        <v>143</v>
      </c>
      <c r="C97" s="54">
        <f>'Data Sheet'!D160</f>
        <v>-120.2</v>
      </c>
      <c r="D97" s="54">
        <f>'Data Sheet'!E160</f>
        <v>-3.9</v>
      </c>
      <c r="E97" s="54">
        <f>'Data Sheet'!F160</f>
        <v>25.7</v>
      </c>
      <c r="F97" s="54">
        <f>'Data Sheet'!G160</f>
        <v>-106.4</v>
      </c>
      <c r="G97" s="54">
        <f>'Data Sheet'!H160</f>
        <v>136.69999999999999</v>
      </c>
    </row>
    <row r="98" spans="2:7" x14ac:dyDescent="0.2">
      <c r="B98" s="16" t="s">
        <v>144</v>
      </c>
      <c r="C98" s="55">
        <f>'Data Sheet'!D161</f>
        <v>457</v>
      </c>
      <c r="D98" s="55">
        <f>'Data Sheet'!E161</f>
        <v>336.8</v>
      </c>
      <c r="E98" s="55">
        <f>'Data Sheet'!F161</f>
        <v>332.9</v>
      </c>
      <c r="F98" s="55">
        <f>'Data Sheet'!G161</f>
        <v>358.6</v>
      </c>
      <c r="G98" s="55">
        <f>'Data Sheet'!H161</f>
        <v>252.2</v>
      </c>
    </row>
    <row r="99" spans="2:7" x14ac:dyDescent="0.2">
      <c r="B99" s="16" t="s">
        <v>46</v>
      </c>
      <c r="C99" s="55">
        <f>'Data Sheet'!D162</f>
        <v>336.8</v>
      </c>
      <c r="D99" s="55">
        <f>'Data Sheet'!E162</f>
        <v>332.9</v>
      </c>
      <c r="E99" s="55">
        <f>'Data Sheet'!F162</f>
        <v>358.6</v>
      </c>
      <c r="F99" s="55">
        <f>'Data Sheet'!G162</f>
        <v>252.2</v>
      </c>
      <c r="G99" s="55">
        <f>'Data Sheet'!H162</f>
        <v>388.9</v>
      </c>
    </row>
    <row r="100" spans="2:7" x14ac:dyDescent="0.2">
      <c r="B100" s="16" t="s">
        <v>145</v>
      </c>
      <c r="C100" s="55">
        <f>'Data Sheet'!D163</f>
        <v>-151.4</v>
      </c>
      <c r="D100" s="55">
        <f>'Data Sheet'!E163</f>
        <v>88.39</v>
      </c>
      <c r="E100" s="55">
        <f>'Data Sheet'!F163</f>
        <v>408.93</v>
      </c>
      <c r="F100" s="55">
        <f>'Data Sheet'!G163</f>
        <v>330.86</v>
      </c>
      <c r="G100" s="55">
        <f>'Data Sheet'!H163</f>
        <v>57.15</v>
      </c>
    </row>
    <row r="102" spans="2:7" x14ac:dyDescent="0.2">
      <c r="B102" s="31" t="s">
        <v>299</v>
      </c>
      <c r="C102" s="82">
        <f>C79+C86</f>
        <v>297.59999999999997</v>
      </c>
      <c r="D102" s="82">
        <f t="shared" ref="D102:G102" si="2">D79+D86</f>
        <v>72.300000000000068</v>
      </c>
      <c r="E102" s="82">
        <f t="shared" si="2"/>
        <v>415.00000000000006</v>
      </c>
      <c r="F102" s="82">
        <f t="shared" si="2"/>
        <v>531.70000000000005</v>
      </c>
      <c r="G102" s="82">
        <f t="shared" si="2"/>
        <v>-71</v>
      </c>
    </row>
  </sheetData>
  <sheetProtection sheet="1" objects="1" scenarios="1"/>
  <mergeCells count="1">
    <mergeCell ref="B5:G5"/>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A7B2B-EA86-5B4A-B6A2-24C3124362B5}">
  <dimension ref="B2:O45"/>
  <sheetViews>
    <sheetView showGridLines="0" topLeftCell="A25" zoomScale="166" zoomScaleNormal="207" workbookViewId="0">
      <selection activeCell="L29" sqref="L29"/>
    </sheetView>
  </sheetViews>
  <sheetFormatPr baseColWidth="10" defaultRowHeight="15" x14ac:dyDescent="0.2"/>
  <cols>
    <col min="1" max="1" width="2" customWidth="1"/>
    <col min="2" max="2" width="31.33203125" bestFit="1" customWidth="1"/>
    <col min="8" max="8" width="14.1640625" customWidth="1"/>
    <col min="10" max="10" width="11.33203125" customWidth="1"/>
    <col min="11" max="11" width="13.1640625" customWidth="1"/>
    <col min="12" max="12" width="58.5" bestFit="1" customWidth="1"/>
  </cols>
  <sheetData>
    <row r="2" spans="2:15" x14ac:dyDescent="0.2">
      <c r="B2" s="6" t="s">
        <v>178</v>
      </c>
      <c r="C2" s="6"/>
      <c r="D2" s="6"/>
      <c r="E2" s="6"/>
      <c r="F2" s="6"/>
    </row>
    <row r="3" spans="2:15" x14ac:dyDescent="0.2">
      <c r="B3" s="14"/>
      <c r="C3" s="18">
        <v>2024</v>
      </c>
      <c r="D3" s="18">
        <v>2025</v>
      </c>
      <c r="E3" s="18">
        <v>2026</v>
      </c>
      <c r="F3" s="61" t="s">
        <v>179</v>
      </c>
      <c r="H3" t="s">
        <v>186</v>
      </c>
    </row>
    <row r="5" spans="2:15" x14ac:dyDescent="0.2">
      <c r="B5" s="21" t="str">
        <f>'Data Sheet'!C170</f>
        <v>UK Sports</v>
      </c>
      <c r="C5" s="22"/>
      <c r="D5" s="22"/>
      <c r="E5" s="22"/>
      <c r="F5" s="21"/>
      <c r="H5" t="s">
        <v>180</v>
      </c>
    </row>
    <row r="6" spans="2:15" x14ac:dyDescent="0.2">
      <c r="B6" t="str">
        <f>'Data Sheet'!C171</f>
        <v>Revenue</v>
      </c>
      <c r="C6" s="58">
        <f>'Data Sheet'!D171</f>
        <v>2908.9</v>
      </c>
      <c r="D6" s="58">
        <f>'Data Sheet'!E171</f>
        <v>2698.1</v>
      </c>
      <c r="E6" s="58">
        <f>'Data Sheet'!F171</f>
        <v>2570.1999999999998</v>
      </c>
      <c r="F6" s="60">
        <f>(E6/C6)^(1/2)-1</f>
        <v>-6.0019024712281821E-2</v>
      </c>
      <c r="O6" t="s">
        <v>189</v>
      </c>
    </row>
    <row r="7" spans="2:15" x14ac:dyDescent="0.2">
      <c r="B7" t="str">
        <f>'Data Sheet'!C172</f>
        <v>Cost of sales</v>
      </c>
      <c r="C7" s="58">
        <f>'Data Sheet'!D172</f>
        <v>-1558.5</v>
      </c>
      <c r="D7" s="58">
        <f>'Data Sheet'!E172</f>
        <v>-1398.5</v>
      </c>
      <c r="E7" s="58">
        <f>'Data Sheet'!F172</f>
        <v>-1256</v>
      </c>
    </row>
    <row r="8" spans="2:15" x14ac:dyDescent="0.2">
      <c r="B8" t="str">
        <f>'Data Sheet'!C173</f>
        <v>Gross profit</v>
      </c>
      <c r="C8" s="58">
        <f>'Data Sheet'!D173</f>
        <v>1350.4</v>
      </c>
      <c r="D8" s="58">
        <f>'Data Sheet'!E173</f>
        <v>1299.5999999999999</v>
      </c>
      <c r="E8" s="58">
        <f>'Data Sheet'!F173</f>
        <v>1314.2</v>
      </c>
      <c r="F8" s="60">
        <f>(E8/C8)^(1/2)-1</f>
        <v>-1.3494486603300659E-2</v>
      </c>
      <c r="O8" t="s">
        <v>190</v>
      </c>
    </row>
    <row r="9" spans="2:15" x14ac:dyDescent="0.2">
      <c r="B9" t="str">
        <f>'Data Sheet'!C174</f>
        <v>Gross margin %</v>
      </c>
      <c r="C9" s="60">
        <f>'Data Sheet'!D174</f>
        <v>0.46400000000000002</v>
      </c>
      <c r="D9" s="60">
        <f>'Data Sheet'!E174</f>
        <v>0.48199999999999998</v>
      </c>
      <c r="E9" s="60">
        <f>'Data Sheet'!F174</f>
        <v>0.51100000000000001</v>
      </c>
    </row>
    <row r="10" spans="2:15" x14ac:dyDescent="0.2">
      <c r="B10" t="str">
        <f>'Data Sheet'!C175</f>
        <v>Profit from trading</v>
      </c>
      <c r="C10" s="58">
        <f>'Data Sheet'!D175</f>
        <v>468.4</v>
      </c>
      <c r="D10" s="58">
        <f>'Data Sheet'!E175</f>
        <v>475.8</v>
      </c>
      <c r="E10" s="58">
        <f>'Data Sheet'!F175</f>
        <v>559.4</v>
      </c>
      <c r="O10" t="s">
        <v>191</v>
      </c>
    </row>
    <row r="11" spans="2:15" x14ac:dyDescent="0.2">
      <c r="B11" t="str">
        <f>'Data Sheet'!C176</f>
        <v>Operating profit</v>
      </c>
      <c r="C11" s="58">
        <f>'Data Sheet'!D176</f>
        <v>353.1</v>
      </c>
      <c r="D11" s="58">
        <f>'Data Sheet'!E176</f>
        <v>365.5</v>
      </c>
      <c r="E11" s="58">
        <f>'Data Sheet'!F176</f>
        <v>387.1</v>
      </c>
      <c r="F11" s="60">
        <f>(E11/C11)^(1/2)-1</f>
        <v>4.7038682586302061E-2</v>
      </c>
    </row>
    <row r="12" spans="2:15" x14ac:dyDescent="0.2">
      <c r="B12" t="str">
        <f>'Data Sheet'!C177</f>
        <v>Store numbers</v>
      </c>
      <c r="C12" s="58">
        <f>'Data Sheet'!D177</f>
        <v>797</v>
      </c>
      <c r="D12" s="58">
        <f>'Data Sheet'!E177</f>
        <v>785</v>
      </c>
      <c r="E12" s="58">
        <f>'Data Sheet'!F177</f>
        <v>794</v>
      </c>
    </row>
    <row r="13" spans="2:15" x14ac:dyDescent="0.2">
      <c r="C13" s="58"/>
      <c r="D13" s="58"/>
      <c r="E13" s="58"/>
    </row>
    <row r="14" spans="2:15" x14ac:dyDescent="0.2">
      <c r="B14" s="21" t="str">
        <f>'Data Sheet'!C179</f>
        <v>Premium Lifestyle</v>
      </c>
      <c r="C14" s="22"/>
      <c r="D14" s="22"/>
      <c r="E14" s="22"/>
      <c r="F14" s="21"/>
    </row>
    <row r="15" spans="2:15" x14ac:dyDescent="0.2">
      <c r="B15" t="str">
        <f>'Data Sheet'!C180</f>
        <v>Revenue</v>
      </c>
      <c r="C15" s="58">
        <f>'Data Sheet'!D180</f>
        <v>1229.8</v>
      </c>
      <c r="D15" s="58">
        <f>'Data Sheet'!E180</f>
        <v>1048.2</v>
      </c>
      <c r="E15" s="58">
        <f>'Data Sheet'!F180</f>
        <v>975.7</v>
      </c>
      <c r="F15" s="60">
        <f>(E15/C15)^(1/2)-1</f>
        <v>-0.1092806067188814</v>
      </c>
      <c r="H15" t="s">
        <v>192</v>
      </c>
      <c r="I15">
        <v>2024</v>
      </c>
      <c r="J15" s="10" t="s">
        <v>194</v>
      </c>
      <c r="K15">
        <v>2026</v>
      </c>
      <c r="L15" s="5" t="s">
        <v>195</v>
      </c>
    </row>
    <row r="16" spans="2:15" x14ac:dyDescent="0.2">
      <c r="B16" t="str">
        <f>'Data Sheet'!C181</f>
        <v>Cost of sales</v>
      </c>
      <c r="C16" s="58">
        <f>'Data Sheet'!D181</f>
        <v>-773.2</v>
      </c>
      <c r="D16" s="58">
        <f>'Data Sheet'!E181</f>
        <v>-635.4</v>
      </c>
      <c r="E16" s="58">
        <f>'Data Sheet'!F181</f>
        <v>-563</v>
      </c>
      <c r="H16" t="str">
        <f>Teaser!B31</f>
        <v>UK Sports</v>
      </c>
      <c r="I16" s="62">
        <f>C6</f>
        <v>2908.9</v>
      </c>
      <c r="J16" s="60">
        <f>I16/$I$21</f>
        <v>0.54709422606733127</v>
      </c>
      <c r="K16" s="62">
        <f>E6</f>
        <v>2570.1999999999998</v>
      </c>
      <c r="L16" s="60">
        <f>K16/$K$21</f>
        <v>0.48258510298728852</v>
      </c>
    </row>
    <row r="17" spans="2:13" x14ac:dyDescent="0.2">
      <c r="B17" t="str">
        <f>'Data Sheet'!C182</f>
        <v>Gross profit</v>
      </c>
      <c r="C17" s="58">
        <f>'Data Sheet'!D182</f>
        <v>456.6</v>
      </c>
      <c r="D17" s="58">
        <f>'Data Sheet'!E182</f>
        <v>412.8</v>
      </c>
      <c r="E17" s="58">
        <f>'Data Sheet'!F182</f>
        <v>412.7</v>
      </c>
      <c r="F17" s="60">
        <f>(E17/C17)^(1/2)-1</f>
        <v>-4.9287331886991081E-2</v>
      </c>
      <c r="H17" t="str">
        <f>Teaser!B32</f>
        <v>Premium Lifestyle</v>
      </c>
      <c r="I17" s="62">
        <f>C15</f>
        <v>1229.8</v>
      </c>
      <c r="J17" s="60">
        <f t="shared" ref="J17:J20" si="0">I17/$I$21</f>
        <v>0.23129584352078239</v>
      </c>
      <c r="K17" s="62">
        <f>E15</f>
        <v>975.7</v>
      </c>
      <c r="L17" s="60">
        <f t="shared" ref="L17:L20" si="1">K17/$K$21</f>
        <v>0.18319908372293886</v>
      </c>
    </row>
    <row r="18" spans="2:13" x14ac:dyDescent="0.2">
      <c r="B18" t="str">
        <f>'Data Sheet'!C183</f>
        <v>Gross margin %</v>
      </c>
      <c r="C18" s="60">
        <f>'Data Sheet'!D183</f>
        <v>0.371</v>
      </c>
      <c r="D18" s="60">
        <f>'Data Sheet'!E183</f>
        <v>0.39400000000000002</v>
      </c>
      <c r="E18" s="60">
        <f>'Data Sheet'!F183</f>
        <v>0.42299999999999999</v>
      </c>
      <c r="H18" t="str">
        <f>Teaser!B33</f>
        <v>International</v>
      </c>
      <c r="I18" s="62">
        <f>C24</f>
        <v>994.6</v>
      </c>
      <c r="J18" s="60">
        <f t="shared" si="0"/>
        <v>0.18706037239044573</v>
      </c>
      <c r="K18" s="62">
        <f>E24</f>
        <v>1603.6</v>
      </c>
      <c r="L18" s="60">
        <f t="shared" si="1"/>
        <v>0.30109465066937041</v>
      </c>
    </row>
    <row r="19" spans="2:13" x14ac:dyDescent="0.2">
      <c r="B19" t="str">
        <f>'Data Sheet'!C184</f>
        <v>Profit from trading</v>
      </c>
      <c r="C19" s="58">
        <f>'Data Sheet'!D184</f>
        <v>137.19999999999999</v>
      </c>
      <c r="D19" s="58">
        <f>'Data Sheet'!E184</f>
        <v>157.4</v>
      </c>
      <c r="E19" s="58">
        <f>'Data Sheet'!F184</f>
        <v>147.6</v>
      </c>
      <c r="H19" t="str">
        <f>Teaser!B34</f>
        <v>Property</v>
      </c>
      <c r="I19" s="62">
        <f>C33</f>
        <v>72.7</v>
      </c>
      <c r="J19" s="60">
        <f t="shared" si="0"/>
        <v>1.3673123942072598E-2</v>
      </c>
      <c r="K19" s="62">
        <f>E33</f>
        <v>96</v>
      </c>
      <c r="L19" s="60">
        <f t="shared" si="1"/>
        <v>1.8025122514504593E-2</v>
      </c>
    </row>
    <row r="20" spans="2:13" x14ac:dyDescent="0.2">
      <c r="B20" t="str">
        <f>'Data Sheet'!C185</f>
        <v>Operating profit</v>
      </c>
      <c r="C20" s="58">
        <f>'Data Sheet'!D185</f>
        <v>98.6</v>
      </c>
      <c r="D20" s="58">
        <f>'Data Sheet'!E185</f>
        <v>131.9</v>
      </c>
      <c r="E20" s="58">
        <f>'Data Sheet'!F185</f>
        <v>102.1</v>
      </c>
      <c r="F20" s="60">
        <f>(E20/C20)^(1/2)-1</f>
        <v>1.7593709396658497E-2</v>
      </c>
      <c r="H20" t="str">
        <f>Teaser!B35</f>
        <v>Financial Services</v>
      </c>
      <c r="I20">
        <f>C40</f>
        <v>111</v>
      </c>
      <c r="J20" s="60">
        <f t="shared" si="0"/>
        <v>2.0876434079368063E-2</v>
      </c>
      <c r="K20">
        <f>E40</f>
        <v>80.400000000000006</v>
      </c>
      <c r="L20" s="60">
        <f t="shared" si="1"/>
        <v>1.5096040105897596E-2</v>
      </c>
    </row>
    <row r="21" spans="2:13" x14ac:dyDescent="0.2">
      <c r="B21" t="str">
        <f>'Data Sheet'!C186</f>
        <v>Store numbers</v>
      </c>
      <c r="C21" s="58">
        <f>'Data Sheet'!D186</f>
        <v>181</v>
      </c>
      <c r="D21" s="58">
        <f>'Data Sheet'!E186</f>
        <v>156</v>
      </c>
      <c r="E21" s="58">
        <f>'Data Sheet'!F186</f>
        <v>133</v>
      </c>
      <c r="H21" t="s">
        <v>193</v>
      </c>
      <c r="I21" s="62">
        <f>SUM(I16:I20)</f>
        <v>5317</v>
      </c>
      <c r="J21" s="64"/>
      <c r="K21" s="62">
        <f>SUM(K16:K20)</f>
        <v>5325.9</v>
      </c>
    </row>
    <row r="22" spans="2:13" x14ac:dyDescent="0.2">
      <c r="C22" s="58"/>
      <c r="D22" s="58"/>
      <c r="E22" s="58"/>
    </row>
    <row r="23" spans="2:13" x14ac:dyDescent="0.2">
      <c r="B23" s="21" t="str">
        <f>'Data Sheet'!C188</f>
        <v>International</v>
      </c>
      <c r="C23" s="22"/>
      <c r="D23" s="22"/>
      <c r="E23" s="22"/>
      <c r="F23" s="21"/>
      <c r="H23" t="s">
        <v>196</v>
      </c>
      <c r="I23" t="str">
        <f>H16</f>
        <v>UK Sports</v>
      </c>
      <c r="J23" t="str">
        <f>H17</f>
        <v>Premium Lifestyle</v>
      </c>
      <c r="K23" t="str">
        <f>H18</f>
        <v>International</v>
      </c>
      <c r="L23" t="str">
        <f>H19</f>
        <v>Property</v>
      </c>
      <c r="M23" t="str">
        <f>H20</f>
        <v>Financial Services</v>
      </c>
    </row>
    <row r="24" spans="2:13" x14ac:dyDescent="0.2">
      <c r="B24" t="str">
        <f>'Data Sheet'!C189</f>
        <v>Revenue</v>
      </c>
      <c r="C24" s="58">
        <f>'Data Sheet'!D189</f>
        <v>994.6</v>
      </c>
      <c r="D24" s="58">
        <f>'Data Sheet'!E189</f>
        <v>1007.4</v>
      </c>
      <c r="E24" s="58">
        <f>'Data Sheet'!F189</f>
        <v>1603.6</v>
      </c>
      <c r="F24" s="60">
        <f>(E24/C24)^(1/2)-1</f>
        <v>0.269766299307169</v>
      </c>
      <c r="H24" t="str">
        <f>J15</f>
        <v>2024 Mix</v>
      </c>
      <c r="I24" s="63">
        <f>J16</f>
        <v>0.54709422606733127</v>
      </c>
      <c r="J24" s="63">
        <f>J17</f>
        <v>0.23129584352078239</v>
      </c>
      <c r="K24" s="63">
        <f>J18</f>
        <v>0.18706037239044573</v>
      </c>
      <c r="L24" s="63">
        <f>J19</f>
        <v>1.3673123942072598E-2</v>
      </c>
      <c r="M24" s="63">
        <f>J20</f>
        <v>2.0876434079368063E-2</v>
      </c>
    </row>
    <row r="25" spans="2:13" x14ac:dyDescent="0.2">
      <c r="B25" t="str">
        <f>'Data Sheet'!C190</f>
        <v>Cost of sales</v>
      </c>
      <c r="C25" s="58">
        <f>'Data Sheet'!D190</f>
        <v>-547.70000000000005</v>
      </c>
      <c r="D25" s="58">
        <f>'Data Sheet'!E190</f>
        <v>-553.6</v>
      </c>
      <c r="E25" s="58">
        <f>'Data Sheet'!F190</f>
        <v>-902.9</v>
      </c>
      <c r="H25" t="str">
        <f>L15</f>
        <v>2026 Mix</v>
      </c>
      <c r="I25" s="63">
        <f>L16</f>
        <v>0.48258510298728852</v>
      </c>
      <c r="J25" s="63">
        <f>L17</f>
        <v>0.18319908372293886</v>
      </c>
      <c r="K25" s="63">
        <f>L18</f>
        <v>0.30109465066937041</v>
      </c>
      <c r="L25" s="63">
        <f>L19</f>
        <v>1.8025122514504593E-2</v>
      </c>
      <c r="M25" s="63">
        <f>L20</f>
        <v>1.5096040105897596E-2</v>
      </c>
    </row>
    <row r="26" spans="2:13" x14ac:dyDescent="0.2">
      <c r="B26" t="str">
        <f>'Data Sheet'!C191</f>
        <v>Gross profit</v>
      </c>
      <c r="C26" s="58">
        <f>'Data Sheet'!D191</f>
        <v>446.9</v>
      </c>
      <c r="D26" s="58">
        <f>'Data Sheet'!E191</f>
        <v>453.8</v>
      </c>
      <c r="E26" s="58">
        <f>'Data Sheet'!F191</f>
        <v>700.7</v>
      </c>
      <c r="F26" s="60">
        <f>(E26/C26)^(1/2)-1</f>
        <v>0.25216304235009002</v>
      </c>
    </row>
    <row r="27" spans="2:13" x14ac:dyDescent="0.2">
      <c r="B27" t="str">
        <f>'Data Sheet'!C192</f>
        <v>Gross margin %</v>
      </c>
      <c r="C27" s="60">
        <f>'Data Sheet'!D192</f>
        <v>0.44900000000000001</v>
      </c>
      <c r="D27" s="60">
        <f>'Data Sheet'!E192</f>
        <v>0.45</v>
      </c>
      <c r="E27" s="60">
        <f>'Data Sheet'!F192</f>
        <v>0.437</v>
      </c>
    </row>
    <row r="28" spans="2:13" x14ac:dyDescent="0.2">
      <c r="B28" t="str">
        <f>'Data Sheet'!C193</f>
        <v>Profit from trading</v>
      </c>
      <c r="C28" s="58">
        <f>'Data Sheet'!D193</f>
        <v>127.2</v>
      </c>
      <c r="D28" s="58">
        <f>'Data Sheet'!E193</f>
        <v>114.1</v>
      </c>
      <c r="E28" s="58">
        <f>'Data Sheet'!F193</f>
        <v>205.5</v>
      </c>
    </row>
    <row r="29" spans="2:13" x14ac:dyDescent="0.2">
      <c r="B29" t="str">
        <f>'Data Sheet'!C194</f>
        <v>Operating (loss)/profit</v>
      </c>
      <c r="C29" s="58">
        <f>'Data Sheet'!D194</f>
        <v>38.1</v>
      </c>
      <c r="D29" s="58">
        <f>'Data Sheet'!E194</f>
        <v>38.1</v>
      </c>
      <c r="E29" s="58">
        <f>'Data Sheet'!F194</f>
        <v>-152.19999999999999</v>
      </c>
      <c r="F29" s="60"/>
    </row>
    <row r="30" spans="2:13" x14ac:dyDescent="0.2">
      <c r="B30" t="str">
        <f>'Data Sheet'!C195</f>
        <v>Store numbers</v>
      </c>
      <c r="C30" s="58">
        <f>'Data Sheet'!D195</f>
        <v>350</v>
      </c>
      <c r="D30" s="58">
        <f>'Data Sheet'!E195</f>
        <v>373</v>
      </c>
      <c r="E30" s="58">
        <f>'Data Sheet'!F195</f>
        <v>565</v>
      </c>
    </row>
    <row r="31" spans="2:13" x14ac:dyDescent="0.2">
      <c r="C31" s="58"/>
      <c r="D31" s="58"/>
      <c r="E31" s="58"/>
    </row>
    <row r="32" spans="2:13" x14ac:dyDescent="0.2">
      <c r="B32" s="21" t="str">
        <f>'Data Sheet'!C197</f>
        <v>Property</v>
      </c>
      <c r="C32" s="22"/>
      <c r="D32" s="22"/>
      <c r="E32" s="22"/>
      <c r="F32" s="21"/>
    </row>
    <row r="33" spans="2:6" x14ac:dyDescent="0.2">
      <c r="B33" t="str">
        <f>'Data Sheet'!C198</f>
        <v>Revenue</v>
      </c>
      <c r="C33" s="58">
        <f>'Data Sheet'!D198</f>
        <v>72.7</v>
      </c>
      <c r="D33" s="58">
        <f>'Data Sheet'!E198</f>
        <v>61.9</v>
      </c>
      <c r="E33" s="58">
        <f>'Data Sheet'!F198</f>
        <v>96</v>
      </c>
      <c r="F33" s="60">
        <f>(E33/C33)^(1/2)-1</f>
        <v>0.14912801101297468</v>
      </c>
    </row>
    <row r="34" spans="2:6" x14ac:dyDescent="0.2">
      <c r="B34" t="str">
        <f>'Data Sheet'!C199</f>
        <v>Gross profit</v>
      </c>
      <c r="C34" s="58">
        <f>'Data Sheet'!D199</f>
        <v>64.900000000000006</v>
      </c>
      <c r="D34" s="58">
        <f>'Data Sheet'!E199</f>
        <v>61.9</v>
      </c>
      <c r="E34" s="58">
        <f>'Data Sheet'!F199</f>
        <v>96</v>
      </c>
      <c r="F34" s="60">
        <f>(E34/C34)^(1/2)-1</f>
        <v>0.21622315688131866</v>
      </c>
    </row>
    <row r="35" spans="2:6" x14ac:dyDescent="0.2">
      <c r="B35" t="str">
        <f>'Data Sheet'!C200</f>
        <v>Gross margin %</v>
      </c>
      <c r="C35" s="60">
        <f>'Data Sheet'!D200</f>
        <v>0.89300000000000002</v>
      </c>
      <c r="D35" s="60">
        <f>'Data Sheet'!E200</f>
        <v>1</v>
      </c>
      <c r="E35" s="60">
        <f>'Data Sheet'!F200</f>
        <v>1</v>
      </c>
    </row>
    <row r="36" spans="2:6" x14ac:dyDescent="0.2">
      <c r="B36" t="str">
        <f>'Data Sheet'!C201</f>
        <v>Profit from trading</v>
      </c>
      <c r="C36" s="58">
        <f>'Data Sheet'!D201</f>
        <v>39.1</v>
      </c>
      <c r="D36" s="58">
        <f>'Data Sheet'!E201</f>
        <v>43.1</v>
      </c>
      <c r="E36" s="58">
        <f>'Data Sheet'!F201</f>
        <v>85.7</v>
      </c>
    </row>
    <row r="37" spans="2:6" x14ac:dyDescent="0.2">
      <c r="B37" t="str">
        <f>'Data Sheet'!C202</f>
        <v>Operating profit</v>
      </c>
      <c r="C37" s="58">
        <f>'Data Sheet'!D202</f>
        <v>-31.3</v>
      </c>
      <c r="D37" s="58">
        <f>'Data Sheet'!E202</f>
        <v>5</v>
      </c>
      <c r="E37" s="58">
        <f>'Data Sheet'!F202</f>
        <v>41.5</v>
      </c>
      <c r="F37" s="60"/>
    </row>
    <row r="39" spans="2:6" x14ac:dyDescent="0.2">
      <c r="B39" s="21" t="str">
        <f>'Data Sheet'!C204</f>
        <v>Financial Services</v>
      </c>
      <c r="C39" s="22"/>
      <c r="D39" s="22"/>
      <c r="E39" s="22"/>
      <c r="F39" s="21"/>
    </row>
    <row r="40" spans="2:6" x14ac:dyDescent="0.2">
      <c r="B40" t="str">
        <f>'Data Sheet'!C205</f>
        <v>Revenue</v>
      </c>
      <c r="C40">
        <f>'Data Sheet'!D205</f>
        <v>111</v>
      </c>
      <c r="D40">
        <f>'Data Sheet'!E205</f>
        <v>85.3</v>
      </c>
      <c r="E40">
        <f>'Data Sheet'!F205</f>
        <v>80.400000000000006</v>
      </c>
      <c r="F40" s="60">
        <f>(E40/C40)^(1/2)-1</f>
        <v>-0.14892754460955304</v>
      </c>
    </row>
    <row r="41" spans="2:6" x14ac:dyDescent="0.2">
      <c r="B41" t="str">
        <f>'Data Sheet'!C206</f>
        <v>Impairment losses on credit receivables</v>
      </c>
      <c r="C41">
        <f>'Data Sheet'!D206</f>
        <v>-20.6</v>
      </c>
      <c r="D41">
        <f>'Data Sheet'!E206</f>
        <v>-22.1</v>
      </c>
      <c r="E41">
        <f>'Data Sheet'!F206</f>
        <v>-28</v>
      </c>
    </row>
    <row r="42" spans="2:6" x14ac:dyDescent="0.2">
      <c r="B42" t="str">
        <f>'Data Sheet'!C207</f>
        <v>Gross profit</v>
      </c>
      <c r="C42">
        <f>'Data Sheet'!D207</f>
        <v>90.4</v>
      </c>
      <c r="D42">
        <f>'Data Sheet'!E207</f>
        <v>63.2</v>
      </c>
      <c r="E42">
        <f>'Data Sheet'!F207</f>
        <v>52.4</v>
      </c>
      <c r="F42" s="60">
        <f>(E42/C42)^(1/2)-1</f>
        <v>-0.23865512564993585</v>
      </c>
    </row>
    <row r="43" spans="2:6" x14ac:dyDescent="0.2">
      <c r="B43" t="str">
        <f>'Data Sheet'!C208</f>
        <v>Gross margin %</v>
      </c>
      <c r="C43" s="60">
        <f>'Data Sheet'!D208</f>
        <v>0.81399999999999995</v>
      </c>
      <c r="D43" s="60">
        <f>'Data Sheet'!E208</f>
        <v>0.74099999999999999</v>
      </c>
      <c r="E43" s="60">
        <f>'Data Sheet'!F208</f>
        <v>0.65200000000000002</v>
      </c>
    </row>
    <row r="44" spans="2:6" x14ac:dyDescent="0.2">
      <c r="B44" t="str">
        <f>'Data Sheet'!C209</f>
        <v>Profit from trading</v>
      </c>
      <c r="C44">
        <f>'Data Sheet'!D209</f>
        <v>57.6</v>
      </c>
      <c r="D44">
        <f>'Data Sheet'!E209</f>
        <v>17.5</v>
      </c>
      <c r="E44">
        <f>'Data Sheet'!F209</f>
        <v>7.7</v>
      </c>
    </row>
    <row r="45" spans="2:6" x14ac:dyDescent="0.2">
      <c r="B45" t="str">
        <f>'Data Sheet'!C210</f>
        <v>Operating profit</v>
      </c>
      <c r="C45">
        <f>'Data Sheet'!D210</f>
        <v>56.1</v>
      </c>
      <c r="D45">
        <f>'Data Sheet'!E210</f>
        <v>17</v>
      </c>
      <c r="E45">
        <f>'Data Sheet'!F210</f>
        <v>7.8</v>
      </c>
      <c r="F45" s="60">
        <f>(E45/C45)^(1/2)-1</f>
        <v>-0.62712276396234623</v>
      </c>
    </row>
  </sheetData>
  <sheetProtection sheet="1" objects="1" scenarios="1"/>
  <mergeCells count="1">
    <mergeCell ref="B2:F2"/>
  </mergeCells>
  <pageMargins left="0.7" right="0.7" top="0.75" bottom="0.75" header="0.3" footer="0.3"/>
  <pageSetup paperSize="9" orientation="portrait" horizontalDpi="0" verticalDpi="0"/>
  <ignoredErrors>
    <ignoredError sqref="J16:J20" formula="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F0404-BEDB-E34B-840C-345E8DC382E0}">
  <dimension ref="B3:H41"/>
  <sheetViews>
    <sheetView showGridLines="0" topLeftCell="A2" zoomScale="106" workbookViewId="0">
      <selection activeCell="B38" sqref="B38"/>
    </sheetView>
  </sheetViews>
  <sheetFormatPr baseColWidth="10" defaultRowHeight="15" x14ac:dyDescent="0.2"/>
  <cols>
    <col min="1" max="1" width="2" style="16" customWidth="1"/>
    <col min="2" max="2" width="31.6640625" style="16" customWidth="1"/>
    <col min="3" max="3" width="31.1640625" style="16" bestFit="1" customWidth="1"/>
    <col min="4" max="4" width="14.1640625" style="16" bestFit="1" customWidth="1"/>
    <col min="5" max="5" width="10.1640625" style="16" bestFit="1" customWidth="1"/>
    <col min="6" max="6" width="28.6640625" style="16" bestFit="1" customWidth="1"/>
    <col min="7" max="7" width="25" style="16" bestFit="1" customWidth="1"/>
    <col min="8" max="8" width="41" style="16" bestFit="1" customWidth="1"/>
    <col min="9" max="16384" width="10.83203125" style="16"/>
  </cols>
  <sheetData>
    <row r="3" spans="2:8" x14ac:dyDescent="0.2">
      <c r="B3" s="16" t="str">
        <f>HistoricalFS!B21</f>
        <v>EBITDA</v>
      </c>
      <c r="C3" s="69">
        <f>HistoricalFS!F21</f>
        <v>722.3</v>
      </c>
      <c r="D3" s="69">
        <f>HistoricalFS!G21</f>
        <v>836.1</v>
      </c>
    </row>
    <row r="5" spans="2:8" x14ac:dyDescent="0.2">
      <c r="B5" s="17" t="str">
        <f>'Data Sheet'!C212</f>
        <v>CAPITAL STRUCTURE</v>
      </c>
      <c r="C5" s="67">
        <v>2025</v>
      </c>
      <c r="D5" s="67">
        <f>'Data Sheet'!E212</f>
        <v>2026</v>
      </c>
    </row>
    <row r="6" spans="2:8" x14ac:dyDescent="0.2">
      <c r="B6" s="16" t="str">
        <f>'Data Sheet'!C213</f>
        <v>Cash &amp; cash equivalents</v>
      </c>
      <c r="C6" s="55">
        <f>'Data Sheet'!D213</f>
        <v>252.2</v>
      </c>
      <c r="D6" s="55">
        <f>'Data Sheet'!E213</f>
        <v>388.9</v>
      </c>
    </row>
    <row r="7" spans="2:8" x14ac:dyDescent="0.2">
      <c r="B7" s="16" t="s">
        <v>233</v>
      </c>
      <c r="C7" s="55">
        <f>'Data Sheet'!D214</f>
        <v>1193.2</v>
      </c>
      <c r="D7" s="55">
        <f>'Data Sheet'!E214</f>
        <v>1651.3</v>
      </c>
    </row>
    <row r="8" spans="2:8" x14ac:dyDescent="0.2">
      <c r="B8" s="16" t="s">
        <v>234</v>
      </c>
      <c r="C8" s="55">
        <f>'Data Sheet'!D215</f>
        <v>93.5</v>
      </c>
      <c r="D8" s="55">
        <f>'Data Sheet'!E215</f>
        <v>94.3</v>
      </c>
    </row>
    <row r="9" spans="2:8" x14ac:dyDescent="0.2">
      <c r="B9" s="16" t="str">
        <f>'Data Sheet'!C216</f>
        <v>Lease liabilities</v>
      </c>
      <c r="C9" s="55">
        <f>'Data Sheet'!D216</f>
        <v>667.8</v>
      </c>
      <c r="D9" s="55">
        <f>'Data Sheet'!E216</f>
        <v>878.6</v>
      </c>
    </row>
    <row r="10" spans="2:8" x14ac:dyDescent="0.2">
      <c r="B10" s="16" t="str">
        <f>'Data Sheet'!C217</f>
        <v>Total debt incl. leases</v>
      </c>
      <c r="C10" s="55">
        <f>'Data Sheet'!D217</f>
        <v>1861</v>
      </c>
      <c r="D10" s="55">
        <f>'Data Sheet'!E217</f>
        <v>2529.9</v>
      </c>
    </row>
    <row r="11" spans="2:8" x14ac:dyDescent="0.2">
      <c r="B11" s="16" t="str">
        <f>'Data Sheet'!C218</f>
        <v>Net debt</v>
      </c>
      <c r="C11" s="55">
        <f>'Data Sheet'!D218</f>
        <v>941</v>
      </c>
      <c r="D11" s="55">
        <f>'Data Sheet'!E218</f>
        <v>1262.4000000000001</v>
      </c>
    </row>
    <row r="12" spans="2:8" x14ac:dyDescent="0.2">
      <c r="B12" s="16" t="str">
        <f>'Data Sheet'!C219</f>
        <v>Net debt excl. securitisation</v>
      </c>
      <c r="C12" s="55">
        <f>'Data Sheet'!D219</f>
        <v>847.5</v>
      </c>
      <c r="D12" s="55">
        <f>'Data Sheet'!E219</f>
        <v>1168.0999999999999</v>
      </c>
    </row>
    <row r="13" spans="2:8" x14ac:dyDescent="0.2">
      <c r="B13" s="16" t="str">
        <f>'Data Sheet'!C220</f>
        <v>Net assets / Equity</v>
      </c>
      <c r="C13" s="55">
        <f>'Data Sheet'!D220</f>
        <v>1988.1</v>
      </c>
      <c r="D13" s="55">
        <f>'Data Sheet'!E220</f>
        <v>2452.6999999999998</v>
      </c>
    </row>
    <row r="15" spans="2:8" x14ac:dyDescent="0.2">
      <c r="B15" s="17" t="str">
        <f>'Data Sheet'!C222</f>
        <v>CAPITAL STRUCTURE</v>
      </c>
      <c r="C15" s="17"/>
      <c r="D15" s="17"/>
      <c r="E15" s="17"/>
      <c r="F15" s="17"/>
      <c r="G15" s="17"/>
      <c r="H15" s="17"/>
    </row>
    <row r="16" spans="2:8" x14ac:dyDescent="0.2">
      <c r="B16" s="16" t="str">
        <f>'Data Sheet'!C223</f>
        <v>Facility</v>
      </c>
      <c r="C16" s="16" t="str">
        <f>'Data Sheet'!D223</f>
        <v>Type / Purpose</v>
      </c>
      <c r="D16" s="16" t="str">
        <f>'Data Sheet'!E223</f>
        <v>Committed Limit</v>
      </c>
      <c r="E16" s="16" t="str">
        <f>'Data Sheet'!F223</f>
        <v>FY26 Drawn</v>
      </c>
      <c r="F16" s="16" t="str">
        <f>'Data Sheet'!G223</f>
        <v>Maturity / Availability</v>
      </c>
      <c r="G16" s="16" t="str">
        <f>'Data Sheet'!H223</f>
        <v>Pricing</v>
      </c>
      <c r="H16" s="16" t="str">
        <f>'Data Sheet'!I223</f>
        <v>Security</v>
      </c>
    </row>
    <row r="17" spans="2:8" x14ac:dyDescent="0.2">
      <c r="B17" s="16" t="str">
        <f>'Data Sheet'!C224</f>
        <v>Term Loan + RCF</v>
      </c>
      <c r="C17" s="16" t="str">
        <f>'Data Sheet'!D224</f>
        <v>Corporate funding / general liquidity</v>
      </c>
      <c r="D17" s="55">
        <f>'Data Sheet'!E224</f>
        <v>3300</v>
      </c>
      <c r="E17" s="55">
        <f>'Data Sheet'!F224</f>
        <v>1557</v>
      </c>
      <c r="F17" s="66">
        <f>'Data Sheet'!G224</f>
        <v>47300</v>
      </c>
      <c r="G17" s="16" t="str">
        <f>'Data Sheet'!H224</f>
        <v>1.75% + relevant interbank rate</v>
      </c>
      <c r="H17" s="16" t="str">
        <f>'Data Sheet'!I224</f>
        <v>Not specifically disclosed</v>
      </c>
    </row>
    <row r="18" spans="2:8" x14ac:dyDescent="0.2">
      <c r="B18" s="16" t="str">
        <f>'Data Sheet'!C225</f>
        <v>Securitisation Facility</v>
      </c>
      <c r="C18" s="16" t="str">
        <f>'Data Sheet'!D225</f>
        <v>Funding of consumer-credit receivables</v>
      </c>
      <c r="D18" s="55">
        <f>'Data Sheet'!E225</f>
        <v>130</v>
      </c>
      <c r="E18" s="55">
        <f>'Data Sheet'!F225</f>
        <v>94.3</v>
      </c>
      <c r="F18" s="16" t="str">
        <f>'Data Sheet'!G225</f>
        <v>New drawings available until Dec-26</v>
      </c>
      <c r="G18" s="16" t="str">
        <f>'Data Sheet'!H225</f>
        <v>2.4% + SONIA</v>
      </c>
      <c r="H18" s="16" t="str">
        <f>'Data Sheet'!I225</f>
        <v>Secured against eligible consumer-credit receivables</v>
      </c>
    </row>
    <row r="19" spans="2:8" x14ac:dyDescent="0.2">
      <c r="D19" s="55"/>
      <c r="E19" s="55"/>
    </row>
    <row r="20" spans="2:8" x14ac:dyDescent="0.2">
      <c r="D20" s="55"/>
      <c r="E20" s="55"/>
    </row>
    <row r="22" spans="2:8" x14ac:dyDescent="0.2">
      <c r="B22" s="17" t="str">
        <f>'Data Sheet'!C227</f>
        <v>DEBT MATURITY</v>
      </c>
      <c r="C22" s="17"/>
      <c r="D22" s="17"/>
      <c r="E22" s="17"/>
      <c r="F22" s="17"/>
      <c r="G22" s="17"/>
    </row>
    <row r="23" spans="2:8" x14ac:dyDescent="0.2">
      <c r="C23" s="16" t="str">
        <f>'Data Sheet'!D228</f>
        <v>&lt;1 year</v>
      </c>
      <c r="D23" s="16" t="str">
        <f>'Data Sheet'!E228</f>
        <v>1–2 years</v>
      </c>
      <c r="E23" s="16" t="str">
        <f>'Data Sheet'!F228</f>
        <v>2–5 years</v>
      </c>
      <c r="F23" s="16" t="str">
        <f>'Data Sheet'!G228</f>
        <v>&gt;5 years</v>
      </c>
      <c r="G23" s="16" t="str">
        <f>'Data Sheet'!H228</f>
        <v>Total</v>
      </c>
    </row>
    <row r="24" spans="2:8" x14ac:dyDescent="0.2">
      <c r="B24" s="16" t="str">
        <f>'Data Sheet'!C229</f>
        <v>Bank loan principal</v>
      </c>
      <c r="C24" s="33" t="str">
        <f>'Data Sheet'!D229</f>
        <v>-</v>
      </c>
      <c r="D24" s="33" t="str">
        <f>'Data Sheet'!E229</f>
        <v>-</v>
      </c>
      <c r="E24" s="55">
        <f>'Data Sheet'!F229</f>
        <v>1651.3</v>
      </c>
      <c r="F24" s="33" t="str">
        <f>'Data Sheet'!G229</f>
        <v>-</v>
      </c>
      <c r="G24" s="55">
        <f>'Data Sheet'!H229</f>
        <v>1651.3</v>
      </c>
    </row>
    <row r="25" spans="2:8" x14ac:dyDescent="0.2">
      <c r="B25" s="16" t="str">
        <f>'Data Sheet'!C230</f>
        <v>Bank loan interest</v>
      </c>
      <c r="C25" s="55">
        <f>'Data Sheet'!D230</f>
        <v>94</v>
      </c>
      <c r="D25" s="55">
        <f>'Data Sheet'!E230</f>
        <v>99.3</v>
      </c>
      <c r="E25" s="55">
        <f>'Data Sheet'!F230</f>
        <v>105</v>
      </c>
      <c r="F25" s="33" t="str">
        <f>'Data Sheet'!G230</f>
        <v>-</v>
      </c>
      <c r="G25" s="55">
        <f>'Data Sheet'!H230</f>
        <v>298.3</v>
      </c>
    </row>
    <row r="26" spans="2:8" x14ac:dyDescent="0.2">
      <c r="B26" s="16" t="str">
        <f>'Data Sheet'!C231</f>
        <v>IFRS 16 lease liabilities</v>
      </c>
      <c r="C26" s="55">
        <f>'Data Sheet'!D231</f>
        <v>195.7</v>
      </c>
      <c r="D26" s="55">
        <f>'Data Sheet'!E231</f>
        <v>177.3</v>
      </c>
      <c r="E26" s="55">
        <f>'Data Sheet'!F231</f>
        <v>330.4</v>
      </c>
      <c r="F26" s="55">
        <f>'Data Sheet'!G231</f>
        <v>646.70000000000005</v>
      </c>
      <c r="G26" s="55">
        <f>'Data Sheet'!H231</f>
        <v>1350.1</v>
      </c>
    </row>
    <row r="27" spans="2:8" x14ac:dyDescent="0.2">
      <c r="B27" s="16" t="str">
        <f>'Data Sheet'!C232</f>
        <v>Total contractual cash outflow</v>
      </c>
      <c r="C27" s="55">
        <f>'Data Sheet'!D232</f>
        <v>289.7</v>
      </c>
      <c r="D27" s="55">
        <f>'Data Sheet'!E232</f>
        <v>276.60000000000002</v>
      </c>
      <c r="E27" s="55">
        <f>'Data Sheet'!F232</f>
        <v>2086.6999999999998</v>
      </c>
      <c r="F27" s="55">
        <f>'Data Sheet'!G232</f>
        <v>646.70000000000005</v>
      </c>
      <c r="G27" s="55">
        <f>'Data Sheet'!H232</f>
        <v>3299.7</v>
      </c>
    </row>
    <row r="29" spans="2:8" x14ac:dyDescent="0.2">
      <c r="B29" s="67" t="s">
        <v>235</v>
      </c>
      <c r="C29" s="67">
        <v>2025</v>
      </c>
      <c r="D29" s="67">
        <v>2026</v>
      </c>
    </row>
    <row r="30" spans="2:8" x14ac:dyDescent="0.2">
      <c r="B30" s="16" t="s">
        <v>242</v>
      </c>
      <c r="C30" s="70">
        <f>C7/C3</f>
        <v>1.6519451751349856</v>
      </c>
      <c r="D30" s="70">
        <f t="shared" ref="D30" si="0">D7/D3</f>
        <v>1.9750029900729578</v>
      </c>
    </row>
    <row r="31" spans="2:8" x14ac:dyDescent="0.2">
      <c r="B31" s="16" t="s">
        <v>236</v>
      </c>
      <c r="C31" s="70">
        <f>C11/C3</f>
        <v>1.3027827772393743</v>
      </c>
      <c r="D31" s="70">
        <f t="shared" ref="D31" si="1">D11/D3</f>
        <v>1.5098672407606746</v>
      </c>
    </row>
    <row r="32" spans="2:8" x14ac:dyDescent="0.2">
      <c r="B32" s="16" t="s">
        <v>237</v>
      </c>
      <c r="C32" s="70">
        <f>C12/C3</f>
        <v>1.1733351792883844</v>
      </c>
      <c r="D32" s="70">
        <f t="shared" ref="D32" si="2">D12/D3</f>
        <v>1.3970816887932065</v>
      </c>
    </row>
    <row r="33" spans="2:4" x14ac:dyDescent="0.2">
      <c r="B33" s="16" t="s">
        <v>243</v>
      </c>
      <c r="C33" s="70">
        <f>HistoricalFS!F21/HistoricalFS!F30</f>
        <v>42.994047619047613</v>
      </c>
      <c r="D33" s="70">
        <f>HistoricalFS!G21/HistoricalFS!G30</f>
        <v>6.1252747252747257</v>
      </c>
    </row>
    <row r="34" spans="2:4" x14ac:dyDescent="0.2">
      <c r="B34" s="16" t="s">
        <v>238</v>
      </c>
      <c r="C34" s="70">
        <f>HistoricalFS!F27/HistoricalFS!F33</f>
        <v>-4.8073476702508966</v>
      </c>
      <c r="D34" s="70">
        <f>HistoricalFS!G27/HistoricalFS!G33</f>
        <v>-4.1697612732095486</v>
      </c>
    </row>
    <row r="35" spans="2:4" x14ac:dyDescent="0.2">
      <c r="B35" s="16" t="s">
        <v>239</v>
      </c>
      <c r="C35" s="70">
        <f>HistoricalFS!F79/'Capital structure'!C10</f>
        <v>0.50693175711982807</v>
      </c>
      <c r="D35" s="70">
        <f>HistoricalFS!G79/'Capital structure'!D10</f>
        <v>0.23076010909522113</v>
      </c>
    </row>
    <row r="36" spans="2:4" x14ac:dyDescent="0.2">
      <c r="B36" s="16" t="s">
        <v>240</v>
      </c>
      <c r="C36" s="70">
        <f>HistoricalFS!F100/'Capital structure'!C10</f>
        <v>0.17778613648576036</v>
      </c>
      <c r="D36" s="70">
        <f>HistoricalFS!G100/'Capital structure'!D10</f>
        <v>2.2589825684809675E-2</v>
      </c>
    </row>
    <row r="38" spans="2:4" x14ac:dyDescent="0.2">
      <c r="B38" s="71" t="s">
        <v>241</v>
      </c>
    </row>
    <row r="41" spans="2:4" x14ac:dyDescent="0.2">
      <c r="B41" s="16" t="s">
        <v>244</v>
      </c>
    </row>
  </sheetData>
  <sheetProtection sheet="1" objects="1" scenarios="1"/>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18B6C-0C0E-1444-8460-2CA983A75C8E}">
  <dimension ref="B4:L22"/>
  <sheetViews>
    <sheetView showGridLines="0" topLeftCell="A3" zoomScale="158" workbookViewId="0">
      <selection activeCell="B21" sqref="B21:B22"/>
    </sheetView>
  </sheetViews>
  <sheetFormatPr baseColWidth="10" defaultRowHeight="15" x14ac:dyDescent="0.2"/>
  <cols>
    <col min="1" max="1" width="2" customWidth="1"/>
    <col min="2" max="2" width="23.1640625" customWidth="1"/>
    <col min="5" max="5" width="13.33203125" customWidth="1"/>
  </cols>
  <sheetData>
    <row r="4" spans="2:12" x14ac:dyDescent="0.2">
      <c r="B4" s="14" t="s">
        <v>263</v>
      </c>
      <c r="C4" s="14"/>
      <c r="D4" s="14"/>
      <c r="E4" s="14"/>
      <c r="F4" s="14"/>
      <c r="G4" s="14"/>
      <c r="H4" s="14"/>
      <c r="I4" s="14"/>
      <c r="J4" s="14"/>
      <c r="K4" s="14"/>
      <c r="L4" s="14"/>
    </row>
    <row r="5" spans="2:12" ht="15" customHeight="1" x14ac:dyDescent="0.2">
      <c r="B5" s="74" t="s">
        <v>256</v>
      </c>
      <c r="C5" s="75" t="s">
        <v>257</v>
      </c>
      <c r="D5" s="75"/>
      <c r="E5" s="75"/>
      <c r="F5" s="75"/>
      <c r="G5" s="75"/>
      <c r="H5" s="75"/>
      <c r="I5" s="75"/>
      <c r="J5" s="75"/>
      <c r="K5" s="75"/>
      <c r="L5" s="75"/>
    </row>
    <row r="6" spans="2:12" x14ac:dyDescent="0.2">
      <c r="B6" s="76"/>
      <c r="C6" s="77"/>
      <c r="D6" s="77"/>
      <c r="E6" s="77"/>
      <c r="F6" s="77"/>
      <c r="G6" s="77"/>
      <c r="H6" s="77"/>
      <c r="I6" s="77"/>
      <c r="J6" s="77"/>
      <c r="K6" s="77"/>
      <c r="L6" s="77"/>
    </row>
    <row r="7" spans="2:12" x14ac:dyDescent="0.2">
      <c r="B7" s="78" t="s">
        <v>258</v>
      </c>
      <c r="C7" s="79" t="s">
        <v>259</v>
      </c>
      <c r="D7" s="79"/>
      <c r="E7" s="79"/>
      <c r="F7" s="79"/>
      <c r="G7" s="79"/>
      <c r="H7" s="79"/>
      <c r="I7" s="79"/>
      <c r="J7" s="79"/>
      <c r="K7" s="79"/>
      <c r="L7" s="79"/>
    </row>
    <row r="8" spans="2:12" x14ac:dyDescent="0.2">
      <c r="B8" s="76"/>
      <c r="C8" s="77"/>
      <c r="D8" s="77"/>
      <c r="E8" s="77"/>
      <c r="F8" s="77"/>
      <c r="G8" s="77"/>
      <c r="H8" s="77"/>
      <c r="I8" s="77"/>
      <c r="J8" s="77"/>
      <c r="K8" s="77"/>
      <c r="L8" s="77"/>
    </row>
    <row r="9" spans="2:12" x14ac:dyDescent="0.2">
      <c r="B9" s="78" t="s">
        <v>262</v>
      </c>
      <c r="C9" s="80" t="s">
        <v>261</v>
      </c>
      <c r="D9" s="80"/>
      <c r="E9" s="80"/>
      <c r="F9" s="80"/>
      <c r="G9" s="80"/>
      <c r="H9" s="80"/>
      <c r="I9" s="80"/>
      <c r="J9" s="80"/>
      <c r="K9" s="80"/>
      <c r="L9" s="80"/>
    </row>
    <row r="10" spans="2:12" x14ac:dyDescent="0.2">
      <c r="B10" s="76"/>
      <c r="C10" s="81"/>
      <c r="D10" s="81"/>
      <c r="E10" s="81"/>
      <c r="F10" s="81"/>
      <c r="G10" s="81"/>
      <c r="H10" s="81"/>
      <c r="I10" s="81"/>
      <c r="J10" s="81"/>
      <c r="K10" s="81"/>
      <c r="L10" s="81"/>
    </row>
    <row r="21" spans="2:2" x14ac:dyDescent="0.2">
      <c r="B21" t="s">
        <v>273</v>
      </c>
    </row>
    <row r="22" spans="2:2" x14ac:dyDescent="0.2">
      <c r="B22" t="s">
        <v>272</v>
      </c>
    </row>
  </sheetData>
  <sheetProtection sheet="1" objects="1" scenarios="1"/>
  <mergeCells count="3">
    <mergeCell ref="C5:L6"/>
    <mergeCell ref="C7:L8"/>
    <mergeCell ref="C9:L10"/>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7DC0E-000E-B844-ABC4-1E4D7EAA0BA0}">
  <dimension ref="B4:C22"/>
  <sheetViews>
    <sheetView showGridLines="0" zoomScale="111" workbookViewId="0">
      <selection activeCell="B7" sqref="B7:B8"/>
    </sheetView>
  </sheetViews>
  <sheetFormatPr baseColWidth="10" defaultRowHeight="15" x14ac:dyDescent="0.2"/>
  <cols>
    <col min="2" max="2" width="124.5" bestFit="1" customWidth="1"/>
    <col min="3" max="3" width="113" bestFit="1" customWidth="1"/>
  </cols>
  <sheetData>
    <row r="4" spans="2:3" x14ac:dyDescent="0.2">
      <c r="B4" s="14" t="s">
        <v>285</v>
      </c>
    </row>
    <row r="5" spans="2:3" x14ac:dyDescent="0.2">
      <c r="B5" t="s">
        <v>344</v>
      </c>
    </row>
    <row r="6" spans="2:3" x14ac:dyDescent="0.2">
      <c r="B6" t="s">
        <v>287</v>
      </c>
    </row>
    <row r="7" spans="2:3" x14ac:dyDescent="0.2">
      <c r="B7" t="s">
        <v>286</v>
      </c>
    </row>
    <row r="8" spans="2:3" x14ac:dyDescent="0.2">
      <c r="B8" t="s">
        <v>288</v>
      </c>
    </row>
    <row r="10" spans="2:3" x14ac:dyDescent="0.2">
      <c r="B10" s="6" t="s">
        <v>281</v>
      </c>
      <c r="C10" s="6"/>
    </row>
    <row r="11" spans="2:3" x14ac:dyDescent="0.2">
      <c r="B11" s="8" t="s">
        <v>274</v>
      </c>
      <c r="C11" s="8" t="s">
        <v>275</v>
      </c>
    </row>
    <row r="12" spans="2:3" x14ac:dyDescent="0.2">
      <c r="B12" t="s">
        <v>276</v>
      </c>
      <c r="C12" t="s">
        <v>279</v>
      </c>
    </row>
    <row r="13" spans="2:3" x14ac:dyDescent="0.2">
      <c r="B13" t="s">
        <v>277</v>
      </c>
      <c r="C13" t="s">
        <v>280</v>
      </c>
    </row>
    <row r="14" spans="2:3" x14ac:dyDescent="0.2">
      <c r="B14" t="s">
        <v>282</v>
      </c>
      <c r="C14" t="s">
        <v>278</v>
      </c>
    </row>
    <row r="15" spans="2:3" x14ac:dyDescent="0.2">
      <c r="B15" t="s">
        <v>283</v>
      </c>
      <c r="C15" t="s">
        <v>284</v>
      </c>
    </row>
    <row r="17" spans="2:3" x14ac:dyDescent="0.2">
      <c r="B17" s="6" t="s">
        <v>289</v>
      </c>
      <c r="C17" s="6"/>
    </row>
    <row r="18" spans="2:3" x14ac:dyDescent="0.2">
      <c r="B18" t="s">
        <v>345</v>
      </c>
      <c r="C18" t="s">
        <v>290</v>
      </c>
    </row>
    <row r="19" spans="2:3" x14ac:dyDescent="0.2">
      <c r="B19" t="s">
        <v>291</v>
      </c>
      <c r="C19" t="s">
        <v>292</v>
      </c>
    </row>
    <row r="20" spans="2:3" x14ac:dyDescent="0.2">
      <c r="B20" t="s">
        <v>293</v>
      </c>
      <c r="C20" t="s">
        <v>294</v>
      </c>
    </row>
    <row r="21" spans="2:3" x14ac:dyDescent="0.2">
      <c r="B21" t="s">
        <v>295</v>
      </c>
      <c r="C21" t="s">
        <v>296</v>
      </c>
    </row>
    <row r="22" spans="2:3" x14ac:dyDescent="0.2">
      <c r="B22" t="s">
        <v>297</v>
      </c>
      <c r="C22" t="s">
        <v>298</v>
      </c>
    </row>
  </sheetData>
  <sheetProtection sheet="1" objects="1" scenarios="1"/>
  <mergeCells count="2">
    <mergeCell ref="B10:C10"/>
    <mergeCell ref="B17:C17"/>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AC7D3-24A2-944D-B2DD-1D8A6D090128}">
  <dimension ref="B3:G59"/>
  <sheetViews>
    <sheetView zoomScale="125" workbookViewId="0">
      <selection activeCell="G32" sqref="G32"/>
    </sheetView>
  </sheetViews>
  <sheetFormatPr baseColWidth="10" defaultRowHeight="15" x14ac:dyDescent="0.2"/>
  <cols>
    <col min="1" max="1" width="1.83203125" customWidth="1"/>
    <col min="2" max="2" width="33" customWidth="1"/>
    <col min="3" max="3" width="12.1640625" customWidth="1"/>
    <col min="4" max="4" width="9.1640625" bestFit="1" customWidth="1"/>
    <col min="5" max="5" width="14.6640625" customWidth="1"/>
  </cols>
  <sheetData>
    <row r="3" spans="2:7" x14ac:dyDescent="0.2">
      <c r="B3" s="6" t="s">
        <v>343</v>
      </c>
      <c r="C3" s="6"/>
      <c r="D3" s="6"/>
      <c r="E3" s="6"/>
      <c r="G3" s="12" t="s">
        <v>313</v>
      </c>
    </row>
    <row r="4" spans="2:7" x14ac:dyDescent="0.2">
      <c r="B4" s="14" t="s">
        <v>161</v>
      </c>
      <c r="C4" s="14" t="s">
        <v>304</v>
      </c>
      <c r="D4" s="14" t="s">
        <v>301</v>
      </c>
      <c r="E4" s="14" t="s">
        <v>302</v>
      </c>
      <c r="G4" t="s">
        <v>307</v>
      </c>
    </row>
    <row r="5" spans="2:7" x14ac:dyDescent="0.2">
      <c r="B5" s="87" t="s">
        <v>164</v>
      </c>
      <c r="C5" s="88">
        <f>HistoricalFS!G10</f>
        <v>5325.9</v>
      </c>
      <c r="D5" s="88">
        <f>C5</f>
        <v>5325.9</v>
      </c>
      <c r="E5" s="88">
        <f>D5</f>
        <v>5325.9</v>
      </c>
      <c r="G5" t="s">
        <v>342</v>
      </c>
    </row>
    <row r="6" spans="2:7" x14ac:dyDescent="0.2">
      <c r="B6" t="s">
        <v>1</v>
      </c>
      <c r="C6" s="62">
        <f>HistoricalFS!G21</f>
        <v>836.1</v>
      </c>
      <c r="D6" s="62">
        <f>C6*(1+D7)</f>
        <v>668.88000000000011</v>
      </c>
      <c r="E6" s="62">
        <f>C6*(1+E7)</f>
        <v>501.65999999999997</v>
      </c>
    </row>
    <row r="7" spans="2:7" x14ac:dyDescent="0.2">
      <c r="B7" s="84" t="s">
        <v>306</v>
      </c>
      <c r="C7" s="85"/>
      <c r="D7" s="86">
        <v>-0.2</v>
      </c>
      <c r="E7" s="86">
        <v>-0.4</v>
      </c>
      <c r="G7" s="12" t="s">
        <v>300</v>
      </c>
    </row>
    <row r="8" spans="2:7" x14ac:dyDescent="0.2">
      <c r="B8" t="s">
        <v>266</v>
      </c>
      <c r="C8" s="63">
        <f>HistoricalFS!G23</f>
        <v>0.157</v>
      </c>
      <c r="D8" s="63">
        <f>D6/HistoricalFS!G10</f>
        <v>0.12559004111981076</v>
      </c>
      <c r="E8" s="63">
        <f>E6/HistoricalFS!G10</f>
        <v>9.4192530839858055E-2</v>
      </c>
    </row>
    <row r="9" spans="2:7" x14ac:dyDescent="0.2">
      <c r="B9" t="s">
        <v>267</v>
      </c>
      <c r="C9" s="2">
        <f>'Capital structure'!D11</f>
        <v>1262.4000000000001</v>
      </c>
      <c r="D9" s="2">
        <f>C9</f>
        <v>1262.4000000000001</v>
      </c>
      <c r="E9" s="2">
        <f>D9</f>
        <v>1262.4000000000001</v>
      </c>
      <c r="G9" t="s">
        <v>310</v>
      </c>
    </row>
    <row r="10" spans="2:7" x14ac:dyDescent="0.2">
      <c r="B10" t="s">
        <v>236</v>
      </c>
      <c r="C10" s="70">
        <f>'Capital structure'!D31</f>
        <v>1.5098672407606746</v>
      </c>
      <c r="D10" s="62">
        <f>D9/D6</f>
        <v>1.8873340509508429</v>
      </c>
      <c r="E10" s="62">
        <f>E9/E6</f>
        <v>2.5164454012677915</v>
      </c>
    </row>
    <row r="11" spans="2:7" x14ac:dyDescent="0.2">
      <c r="B11" t="s">
        <v>305</v>
      </c>
      <c r="C11" s="62">
        <f>HistoricalFS!G30</f>
        <v>136.5</v>
      </c>
      <c r="D11" s="62">
        <f>C11</f>
        <v>136.5</v>
      </c>
      <c r="E11" s="62">
        <f>D11</f>
        <v>136.5</v>
      </c>
      <c r="G11" s="12" t="s">
        <v>301</v>
      </c>
    </row>
    <row r="12" spans="2:7" x14ac:dyDescent="0.2">
      <c r="B12" s="16" t="s">
        <v>364</v>
      </c>
      <c r="C12" s="70">
        <f>'Capital structure'!D33</f>
        <v>6.1252747252747257</v>
      </c>
      <c r="D12" s="70">
        <f>D6/D11</f>
        <v>4.9002197802197811</v>
      </c>
      <c r="E12" s="70">
        <f>E6/E11</f>
        <v>3.6751648351648347</v>
      </c>
    </row>
    <row r="13" spans="2:7" x14ac:dyDescent="0.2">
      <c r="B13" t="s">
        <v>303</v>
      </c>
      <c r="C13" s="62">
        <f>HistoricalFS!G46+B15</f>
        <v>2131.9</v>
      </c>
      <c r="D13" s="62">
        <f>C13</f>
        <v>2131.9</v>
      </c>
      <c r="E13" s="62">
        <f>D13</f>
        <v>2131.9</v>
      </c>
      <c r="G13" t="s">
        <v>311</v>
      </c>
    </row>
    <row r="15" spans="2:7" x14ac:dyDescent="0.2">
      <c r="B15" s="9">
        <v>1743</v>
      </c>
      <c r="C15" s="9" t="s">
        <v>308</v>
      </c>
      <c r="G15" s="12" t="s">
        <v>302</v>
      </c>
    </row>
    <row r="17" spans="2:7" x14ac:dyDescent="0.2">
      <c r="G17" t="s">
        <v>312</v>
      </c>
    </row>
    <row r="18" spans="2:7" x14ac:dyDescent="0.2">
      <c r="G18" t="s">
        <v>309</v>
      </c>
    </row>
    <row r="22" spans="2:7" x14ac:dyDescent="0.2">
      <c r="B22" s="14" t="s">
        <v>314</v>
      </c>
      <c r="C22" s="14"/>
    </row>
    <row r="23" spans="2:7" x14ac:dyDescent="0.2">
      <c r="B23" t="s">
        <v>315</v>
      </c>
      <c r="C23" s="62">
        <f>'Capital structure'!D7</f>
        <v>1651.3</v>
      </c>
    </row>
    <row r="24" spans="2:7" x14ac:dyDescent="0.2">
      <c r="B24" t="s">
        <v>316</v>
      </c>
      <c r="C24" s="62">
        <f>'Capital structure'!D8</f>
        <v>94.3</v>
      </c>
    </row>
    <row r="25" spans="2:7" x14ac:dyDescent="0.2">
      <c r="B25" t="s">
        <v>317</v>
      </c>
      <c r="C25" s="62">
        <f>C23-C24</f>
        <v>1557</v>
      </c>
    </row>
    <row r="27" spans="2:7" x14ac:dyDescent="0.2">
      <c r="B27" s="14" t="str">
        <f>'Data Sheet'!C246</f>
        <v>Asset</v>
      </c>
      <c r="C27" s="14" t="str">
        <f>'Data Sheet'!D246</f>
        <v>Carrying Value</v>
      </c>
      <c r="D27" s="14" t="s">
        <v>320</v>
      </c>
      <c r="E27" s="14" t="s">
        <v>321</v>
      </c>
    </row>
    <row r="28" spans="2:7" x14ac:dyDescent="0.2">
      <c r="B28" t="str">
        <f>'Data Sheet'!C247</f>
        <v>Cash</v>
      </c>
      <c r="C28">
        <f>'Data Sheet'!D247</f>
        <v>388.9</v>
      </c>
      <c r="D28" s="90">
        <v>1</v>
      </c>
      <c r="E28">
        <f>D28*C28</f>
        <v>388.9</v>
      </c>
    </row>
    <row r="29" spans="2:7" x14ac:dyDescent="0.2">
      <c r="B29" t="str">
        <f>'Data Sheet'!C248</f>
        <v>Receivables</v>
      </c>
      <c r="C29">
        <f>'Data Sheet'!D248</f>
        <v>978.8</v>
      </c>
      <c r="D29" s="90">
        <v>0.6</v>
      </c>
      <c r="E29">
        <f t="shared" ref="E29:E36" si="0">D29*C29</f>
        <v>587.28</v>
      </c>
    </row>
    <row r="30" spans="2:7" x14ac:dyDescent="0.2">
      <c r="B30" t="str">
        <f>'Data Sheet'!C249</f>
        <v>Inventory</v>
      </c>
      <c r="C30">
        <f>'Data Sheet'!D249</f>
        <v>1279.8</v>
      </c>
      <c r="D30" s="90">
        <v>0.4</v>
      </c>
      <c r="E30">
        <f t="shared" si="0"/>
        <v>511.92</v>
      </c>
    </row>
    <row r="31" spans="2:7" x14ac:dyDescent="0.2">
      <c r="B31" t="str">
        <f>'Data Sheet'!C250</f>
        <v>PP&amp;E</v>
      </c>
      <c r="C31">
        <f>'Data Sheet'!D250</f>
        <v>1426.1</v>
      </c>
      <c r="D31" s="90">
        <v>0.55000000000000004</v>
      </c>
      <c r="E31">
        <f t="shared" si="0"/>
        <v>784.35500000000002</v>
      </c>
    </row>
    <row r="32" spans="2:7" x14ac:dyDescent="0.2">
      <c r="B32" t="str">
        <f>'Data Sheet'!C251</f>
        <v>Investment properties</v>
      </c>
      <c r="C32">
        <f>'Data Sheet'!D251</f>
        <v>852.2</v>
      </c>
      <c r="D32" s="90">
        <v>0.6</v>
      </c>
      <c r="E32">
        <f t="shared" si="0"/>
        <v>511.32</v>
      </c>
      <c r="G32" t="s">
        <v>341</v>
      </c>
    </row>
    <row r="33" spans="2:5" x14ac:dyDescent="0.2">
      <c r="B33" t="str">
        <f>'Data Sheet'!C252</f>
        <v>Long-term financial assets</v>
      </c>
      <c r="C33">
        <f>'Data Sheet'!D252</f>
        <v>516</v>
      </c>
      <c r="D33" s="90">
        <v>0.4</v>
      </c>
      <c r="E33">
        <f t="shared" si="0"/>
        <v>206.4</v>
      </c>
    </row>
    <row r="34" spans="2:5" x14ac:dyDescent="0.2">
      <c r="B34" t="str">
        <f>'Data Sheet'!C253</f>
        <v>Investments in associates</v>
      </c>
      <c r="C34">
        <f>'Data Sheet'!D253</f>
        <v>764.1</v>
      </c>
      <c r="D34" s="90">
        <v>0.25</v>
      </c>
      <c r="E34">
        <f t="shared" si="0"/>
        <v>191.02500000000001</v>
      </c>
    </row>
    <row r="35" spans="2:5" x14ac:dyDescent="0.2">
      <c r="B35" t="str">
        <f>'Data Sheet'!C254</f>
        <v>Intangibles</v>
      </c>
      <c r="C35">
        <f>'Data Sheet'!D254</f>
        <v>99.4</v>
      </c>
      <c r="D35" s="90">
        <v>0</v>
      </c>
      <c r="E35">
        <f t="shared" si="0"/>
        <v>0</v>
      </c>
    </row>
    <row r="36" spans="2:5" x14ac:dyDescent="0.2">
      <c r="B36" t="str">
        <f>'Data Sheet'!C255</f>
        <v>Derivatives</v>
      </c>
      <c r="C36">
        <f>'Data Sheet'!D255</f>
        <v>53.6</v>
      </c>
      <c r="D36" s="90">
        <v>0.5</v>
      </c>
      <c r="E36">
        <f t="shared" si="0"/>
        <v>26.8</v>
      </c>
    </row>
    <row r="37" spans="2:5" x14ac:dyDescent="0.2">
      <c r="B37" t="str">
        <f>'Data Sheet'!C256</f>
        <v>Total</v>
      </c>
      <c r="C37">
        <f>'Data Sheet'!D256</f>
        <v>0</v>
      </c>
      <c r="E37">
        <f>SUM(E28:E36)</f>
        <v>3208.0000000000005</v>
      </c>
    </row>
    <row r="40" spans="2:5" x14ac:dyDescent="0.2">
      <c r="B40" t="s">
        <v>337</v>
      </c>
      <c r="C40">
        <f>E37</f>
        <v>3208.0000000000005</v>
      </c>
    </row>
    <row r="41" spans="2:5" x14ac:dyDescent="0.2">
      <c r="B41" t="s">
        <v>338</v>
      </c>
      <c r="C41" s="62">
        <f>HistoricalFS!G66-'Scenario Analysis'!C25</f>
        <v>2476.8000000000002</v>
      </c>
    </row>
    <row r="42" spans="2:5" x14ac:dyDescent="0.2">
      <c r="B42" t="s">
        <v>339</v>
      </c>
      <c r="C42" s="62">
        <f>C40-C41</f>
        <v>731.20000000000027</v>
      </c>
    </row>
    <row r="43" spans="2:5" x14ac:dyDescent="0.2">
      <c r="B43" s="13" t="s">
        <v>340</v>
      </c>
      <c r="C43" s="92">
        <f>C42/C25</f>
        <v>0.46962106615285826</v>
      </c>
    </row>
    <row r="47" spans="2:5" x14ac:dyDescent="0.2">
      <c r="B47" s="91" t="s">
        <v>329</v>
      </c>
    </row>
    <row r="48" spans="2:5" x14ac:dyDescent="0.2">
      <c r="B48" s="91" t="s">
        <v>330</v>
      </c>
    </row>
    <row r="49" spans="2:4" x14ac:dyDescent="0.2">
      <c r="B49" s="91" t="s">
        <v>331</v>
      </c>
    </row>
    <row r="50" spans="2:4" x14ac:dyDescent="0.2">
      <c r="B50" s="91" t="s">
        <v>332</v>
      </c>
    </row>
    <row r="51" spans="2:4" x14ac:dyDescent="0.2">
      <c r="B51" s="91" t="s">
        <v>333</v>
      </c>
      <c r="D51" s="4"/>
    </row>
    <row r="52" spans="2:4" x14ac:dyDescent="0.2">
      <c r="B52" s="91" t="s">
        <v>334</v>
      </c>
      <c r="D52" s="4"/>
    </row>
    <row r="53" spans="2:4" x14ac:dyDescent="0.2">
      <c r="B53" s="91" t="s">
        <v>335</v>
      </c>
      <c r="C53" s="2"/>
      <c r="D53" s="4"/>
    </row>
    <row r="54" spans="2:4" x14ac:dyDescent="0.2">
      <c r="B54" s="91" t="s">
        <v>336</v>
      </c>
      <c r="C54" s="2"/>
      <c r="D54" s="4"/>
    </row>
    <row r="55" spans="2:4" x14ac:dyDescent="0.2">
      <c r="D55" s="4"/>
    </row>
    <row r="56" spans="2:4" x14ac:dyDescent="0.2">
      <c r="D56" s="4"/>
    </row>
    <row r="57" spans="2:4" x14ac:dyDescent="0.2">
      <c r="D57" s="4"/>
    </row>
    <row r="58" spans="2:4" x14ac:dyDescent="0.2">
      <c r="D58" s="4"/>
    </row>
    <row r="59" spans="2:4" x14ac:dyDescent="0.2">
      <c r="D59" s="4"/>
    </row>
  </sheetData>
  <sheetProtection sheet="1" objects="1" scenarios="1"/>
  <mergeCells count="1">
    <mergeCell ref="B3:E3"/>
  </mergeCells>
  <pageMargins left="0.7" right="0.7" top="0.75" bottom="0.75" header="0.3" footer="0.3"/>
  <pageSetup paperSize="9" orientation="portrait" horizontalDpi="0" verticalDpi="0"/>
  <ignoredErrors>
    <ignoredError sqref="D10:E10 D12:E12"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26D2A-53E3-7445-8697-BAB9A213751E}">
  <sheetPr>
    <tabColor theme="0"/>
  </sheetPr>
  <dimension ref="A1"/>
  <sheetViews>
    <sheetView workbookViewId="0">
      <selection activeCell="G38" sqref="G38"/>
    </sheetView>
  </sheetViews>
  <sheetFormatPr baseColWidth="10" defaultRowHeight="15" x14ac:dyDescent="0.2"/>
  <sheetData/>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4627-E215-4848-B16F-5F9AC3D36F8B}">
  <dimension ref="A3:I256"/>
  <sheetViews>
    <sheetView topLeftCell="B229" zoomScale="150" workbookViewId="0">
      <selection activeCell="E240" sqref="E240"/>
    </sheetView>
  </sheetViews>
  <sheetFormatPr baseColWidth="10" defaultRowHeight="15" x14ac:dyDescent="0.2"/>
  <cols>
    <col min="1" max="2" width="10.83203125" style="16"/>
    <col min="3" max="3" width="42" style="16" bestFit="1" customWidth="1"/>
    <col min="4" max="4" width="15.5" style="16" customWidth="1"/>
    <col min="5" max="5" width="32" style="16" customWidth="1"/>
    <col min="6" max="6" width="25.1640625" style="16" bestFit="1" customWidth="1"/>
    <col min="7" max="7" width="25" style="16" bestFit="1" customWidth="1"/>
    <col min="8" max="8" width="28.6640625" style="16" bestFit="1" customWidth="1"/>
    <col min="9" max="16384" width="10.83203125" style="16"/>
  </cols>
  <sheetData>
    <row r="3" spans="1:8" x14ac:dyDescent="0.2">
      <c r="A3" s="16" t="s">
        <v>155</v>
      </c>
    </row>
    <row r="4" spans="1:8" x14ac:dyDescent="0.2">
      <c r="A4" s="37"/>
      <c r="B4" s="38"/>
      <c r="C4" s="38"/>
      <c r="D4" s="38"/>
      <c r="E4" s="38"/>
      <c r="F4" s="38"/>
      <c r="G4" s="38"/>
      <c r="H4" s="38"/>
    </row>
    <row r="5" spans="1:8" x14ac:dyDescent="0.2">
      <c r="A5" s="37"/>
      <c r="B5" s="39"/>
      <c r="C5" s="15" t="s">
        <v>111</v>
      </c>
      <c r="D5" s="15"/>
      <c r="E5" s="15"/>
      <c r="F5" s="15"/>
      <c r="G5" s="15"/>
      <c r="H5" s="15"/>
    </row>
    <row r="6" spans="1:8" x14ac:dyDescent="0.2">
      <c r="A6" s="16" t="s">
        <v>44</v>
      </c>
      <c r="B6" s="38"/>
      <c r="C6" s="40"/>
    </row>
    <row r="7" spans="1:8" x14ac:dyDescent="0.2">
      <c r="A7" s="24" t="s">
        <v>3</v>
      </c>
      <c r="B7" s="24"/>
      <c r="C7" s="30"/>
      <c r="D7" s="41"/>
      <c r="E7" s="41"/>
      <c r="F7" s="41"/>
      <c r="G7" s="41"/>
      <c r="H7" s="41"/>
    </row>
    <row r="8" spans="1:8" x14ac:dyDescent="0.2">
      <c r="A8" s="24"/>
      <c r="B8" s="24"/>
      <c r="C8" s="42"/>
      <c r="D8" s="41">
        <v>2022</v>
      </c>
      <c r="E8" s="41">
        <v>2023</v>
      </c>
      <c r="F8" s="41">
        <v>2024</v>
      </c>
      <c r="G8" s="41">
        <v>2025</v>
      </c>
      <c r="H8" s="41">
        <v>2026</v>
      </c>
    </row>
    <row r="9" spans="1:8" x14ac:dyDescent="0.2">
      <c r="A9" s="43"/>
      <c r="B9" s="43"/>
      <c r="C9" s="30" t="s">
        <v>4</v>
      </c>
      <c r="D9" s="44">
        <v>4805.3</v>
      </c>
      <c r="E9" s="45">
        <v>5586</v>
      </c>
      <c r="F9" s="45">
        <v>5317</v>
      </c>
      <c r="G9" s="44">
        <v>4900.8999999999996</v>
      </c>
      <c r="H9" s="44">
        <v>5325.9</v>
      </c>
    </row>
    <row r="10" spans="1:8" x14ac:dyDescent="0.2">
      <c r="A10" s="43"/>
      <c r="B10" s="43"/>
      <c r="C10" s="24" t="s">
        <v>5</v>
      </c>
      <c r="D10" s="46">
        <v>0.32550000000000001</v>
      </c>
      <c r="E10" s="46">
        <v>0.16250000000000001</v>
      </c>
      <c r="F10" s="46">
        <v>-4.82E-2</v>
      </c>
      <c r="G10" s="46">
        <v>-7.8299999999999995E-2</v>
      </c>
      <c r="H10" s="46">
        <v>8.6699999999999999E-2</v>
      </c>
    </row>
    <row r="11" spans="1:8" x14ac:dyDescent="0.2">
      <c r="A11" s="43"/>
      <c r="B11" s="43"/>
      <c r="C11" s="24" t="s">
        <v>6</v>
      </c>
      <c r="D11" s="29">
        <v>2708.1</v>
      </c>
      <c r="E11" s="29">
        <v>3175.5</v>
      </c>
      <c r="F11" s="29">
        <v>2887.2</v>
      </c>
      <c r="G11" s="29">
        <v>2587.5</v>
      </c>
      <c r="H11" s="29">
        <v>2721.6</v>
      </c>
    </row>
    <row r="12" spans="1:8" x14ac:dyDescent="0.2">
      <c r="A12" s="43"/>
      <c r="B12" s="43"/>
      <c r="C12" s="30" t="s">
        <v>7</v>
      </c>
      <c r="D12" s="44">
        <v>2097.1999999999998</v>
      </c>
      <c r="E12" s="44">
        <v>2410.5</v>
      </c>
      <c r="F12" s="44">
        <v>2429.8000000000002</v>
      </c>
      <c r="G12" s="44">
        <v>2313.4</v>
      </c>
      <c r="H12" s="44">
        <v>2604.3000000000002</v>
      </c>
    </row>
    <row r="13" spans="1:8" x14ac:dyDescent="0.2">
      <c r="A13" s="43"/>
      <c r="B13" s="43"/>
      <c r="C13" s="24" t="s">
        <v>8</v>
      </c>
      <c r="D13" s="47">
        <v>0.37</v>
      </c>
      <c r="E13" s="46">
        <v>0.14940000000000001</v>
      </c>
      <c r="F13" s="46">
        <v>8.0000000000000002E-3</v>
      </c>
      <c r="G13" s="46">
        <v>-4.7899999999999998E-2</v>
      </c>
      <c r="H13" s="46">
        <v>0.12570000000000001</v>
      </c>
    </row>
    <row r="14" spans="1:8" x14ac:dyDescent="0.2">
      <c r="A14" s="43"/>
      <c r="B14" s="43"/>
      <c r="C14" s="24" t="s">
        <v>9</v>
      </c>
      <c r="D14" s="48">
        <v>0.43640000000000001</v>
      </c>
      <c r="E14" s="48">
        <v>0.43149999999999999</v>
      </c>
      <c r="F14" s="48">
        <v>0.45700000000000002</v>
      </c>
      <c r="G14" s="48">
        <v>0.47199999999999998</v>
      </c>
      <c r="H14" s="48">
        <v>0.48899999999999999</v>
      </c>
    </row>
    <row r="15" spans="1:8" x14ac:dyDescent="0.2">
      <c r="A15" s="43"/>
      <c r="B15" s="43"/>
      <c r="C15" s="30" t="s">
        <v>10</v>
      </c>
      <c r="D15" s="45">
        <v>1554</v>
      </c>
      <c r="E15" s="44">
        <v>1961.6</v>
      </c>
      <c r="F15" s="44">
        <v>1906.6</v>
      </c>
      <c r="G15" s="44">
        <v>1776.9</v>
      </c>
      <c r="H15" s="44">
        <v>1975.5</v>
      </c>
    </row>
    <row r="16" spans="1:8" x14ac:dyDescent="0.2">
      <c r="A16" s="43"/>
      <c r="B16" s="43"/>
      <c r="C16" s="30" t="s">
        <v>12</v>
      </c>
      <c r="D16" s="41">
        <v>543.20000000000005</v>
      </c>
      <c r="E16" s="41">
        <v>448.9</v>
      </c>
      <c r="F16" s="41">
        <v>523.20000000000005</v>
      </c>
      <c r="G16" s="41">
        <v>536.5</v>
      </c>
      <c r="H16" s="41">
        <v>628.79999999999995</v>
      </c>
    </row>
    <row r="17" spans="1:8" x14ac:dyDescent="0.2">
      <c r="A17" s="43"/>
      <c r="B17" s="43"/>
      <c r="C17" s="24" t="s">
        <v>13</v>
      </c>
      <c r="D17" s="46">
        <v>1.1859</v>
      </c>
      <c r="E17" s="46">
        <v>-0.1736</v>
      </c>
      <c r="F17" s="46">
        <v>0.16550000000000001</v>
      </c>
      <c r="G17" s="46">
        <v>2.5399999999999999E-2</v>
      </c>
      <c r="H17" s="46">
        <v>0.17199999999999999</v>
      </c>
    </row>
    <row r="18" spans="1:8" x14ac:dyDescent="0.2">
      <c r="A18" s="43"/>
      <c r="B18" s="43"/>
      <c r="C18" s="24" t="s">
        <v>14</v>
      </c>
      <c r="D18" s="48">
        <v>0.113</v>
      </c>
      <c r="E18" s="48">
        <v>8.0399999999999999E-2</v>
      </c>
      <c r="F18" s="48">
        <v>9.8400000000000001E-2</v>
      </c>
      <c r="G18" s="48">
        <v>0.1095</v>
      </c>
      <c r="H18" s="48">
        <v>0.1181</v>
      </c>
    </row>
    <row r="19" spans="1:8" x14ac:dyDescent="0.2">
      <c r="A19" s="43"/>
      <c r="B19" s="43"/>
      <c r="C19" s="24" t="s">
        <v>15</v>
      </c>
      <c r="D19" s="16">
        <v>15.5</v>
      </c>
      <c r="E19" s="16">
        <v>61.7</v>
      </c>
      <c r="F19" s="16">
        <v>8.8000000000000007</v>
      </c>
      <c r="G19" s="16">
        <v>16.8</v>
      </c>
      <c r="H19" s="16">
        <v>136.5</v>
      </c>
    </row>
    <row r="20" spans="1:8" x14ac:dyDescent="0.2">
      <c r="A20" s="43"/>
      <c r="B20" s="43"/>
      <c r="C20" s="24" t="s">
        <v>16</v>
      </c>
      <c r="D20" s="46">
        <v>-0.79520000000000002</v>
      </c>
      <c r="E20" s="46">
        <v>2.9805999999999999</v>
      </c>
      <c r="F20" s="46">
        <v>-0.85740000000000005</v>
      </c>
      <c r="G20" s="46">
        <v>0.90910000000000002</v>
      </c>
      <c r="H20" s="46">
        <v>7.125</v>
      </c>
    </row>
    <row r="21" spans="1:8" x14ac:dyDescent="0.2">
      <c r="A21" s="43"/>
      <c r="B21" s="43"/>
      <c r="C21" s="24" t="s">
        <v>17</v>
      </c>
      <c r="D21" s="16">
        <v>-32.799999999999997</v>
      </c>
      <c r="E21" s="16">
        <v>-60.6</v>
      </c>
      <c r="F21" s="16">
        <v>-85.4</v>
      </c>
      <c r="G21" s="16">
        <v>-111.6</v>
      </c>
      <c r="H21" s="16">
        <v>-150.80000000000001</v>
      </c>
    </row>
    <row r="22" spans="1:8" x14ac:dyDescent="0.2">
      <c r="A22" s="43"/>
      <c r="B22" s="43"/>
      <c r="C22" s="24" t="s">
        <v>18</v>
      </c>
      <c r="D22" s="16">
        <v>48.3</v>
      </c>
      <c r="E22" s="16">
        <v>122.3</v>
      </c>
      <c r="F22" s="16">
        <v>94.2</v>
      </c>
      <c r="G22" s="16">
        <v>128.4</v>
      </c>
      <c r="H22" s="16">
        <v>287.3</v>
      </c>
    </row>
    <row r="23" spans="1:8" x14ac:dyDescent="0.2">
      <c r="A23" s="43"/>
      <c r="B23" s="43"/>
      <c r="C23" s="24" t="s">
        <v>19</v>
      </c>
      <c r="D23" s="16">
        <v>9.3000000000000007</v>
      </c>
      <c r="E23" s="16">
        <v>28</v>
      </c>
      <c r="F23" s="16">
        <v>13.2</v>
      </c>
      <c r="G23" s="16">
        <v>-59.3</v>
      </c>
      <c r="H23" s="16">
        <v>92</v>
      </c>
    </row>
    <row r="24" spans="1:8" x14ac:dyDescent="0.2">
      <c r="A24" s="43"/>
      <c r="B24" s="43"/>
      <c r="C24" s="30" t="s">
        <v>20</v>
      </c>
      <c r="D24" s="41">
        <v>568</v>
      </c>
      <c r="E24" s="41">
        <v>538.6</v>
      </c>
      <c r="F24" s="41">
        <v>545.20000000000005</v>
      </c>
      <c r="G24" s="41">
        <v>494</v>
      </c>
      <c r="H24" s="41">
        <v>857.3</v>
      </c>
    </row>
    <row r="25" spans="1:8" x14ac:dyDescent="0.2">
      <c r="A25" s="43"/>
      <c r="B25" s="43"/>
      <c r="C25" s="24" t="s">
        <v>21</v>
      </c>
      <c r="D25" s="16">
        <v>10.8</v>
      </c>
      <c r="E25" s="16">
        <v>113</v>
      </c>
      <c r="F25" s="16">
        <v>28.5</v>
      </c>
      <c r="G25" s="16">
        <v>4.8</v>
      </c>
      <c r="H25" s="16">
        <v>1.6</v>
      </c>
    </row>
    <row r="26" spans="1:8" x14ac:dyDescent="0.2">
      <c r="A26" s="43"/>
      <c r="B26" s="43"/>
      <c r="C26" s="24" t="s">
        <v>22</v>
      </c>
      <c r="D26" s="16">
        <v>-222.2</v>
      </c>
      <c r="E26" s="16">
        <v>-9</v>
      </c>
      <c r="F26" s="16">
        <v>-0.7</v>
      </c>
      <c r="G26" s="16">
        <v>22.7</v>
      </c>
      <c r="H26" s="16">
        <v>-29.6</v>
      </c>
    </row>
    <row r="27" spans="1:8" x14ac:dyDescent="0.2">
      <c r="A27" s="43"/>
      <c r="B27" s="43"/>
      <c r="C27" s="30" t="s">
        <v>23</v>
      </c>
      <c r="D27" s="41">
        <v>335.6</v>
      </c>
      <c r="E27" s="41">
        <v>638</v>
      </c>
      <c r="F27" s="41">
        <v>501</v>
      </c>
      <c r="G27" s="41">
        <v>379.9</v>
      </c>
      <c r="H27" s="41">
        <v>527.79999999999995</v>
      </c>
    </row>
    <row r="28" spans="1:8" x14ac:dyDescent="0.2">
      <c r="A28" s="43"/>
      <c r="B28" s="43"/>
      <c r="C28" s="24" t="s">
        <v>24</v>
      </c>
      <c r="D28" s="46">
        <v>38.482399999999998</v>
      </c>
      <c r="E28" s="46">
        <v>0.90110000000000001</v>
      </c>
      <c r="F28" s="46">
        <v>-0.2147</v>
      </c>
      <c r="G28" s="46">
        <v>-0.2417</v>
      </c>
      <c r="H28" s="46">
        <v>0.38929999999999998</v>
      </c>
    </row>
    <row r="29" spans="1:8" x14ac:dyDescent="0.2">
      <c r="A29" s="43"/>
      <c r="B29" s="43"/>
      <c r="C29" s="24" t="s">
        <v>25</v>
      </c>
      <c r="D29" s="48">
        <v>6.9800000000000001E-2</v>
      </c>
      <c r="E29" s="48">
        <v>0.1142</v>
      </c>
      <c r="F29" s="48">
        <v>9.4200000000000006E-2</v>
      </c>
      <c r="G29" s="48">
        <v>7.7499999999999999E-2</v>
      </c>
      <c r="H29" s="48">
        <v>9.9099999999999994E-2</v>
      </c>
    </row>
    <row r="30" spans="1:8" x14ac:dyDescent="0.2">
      <c r="A30" s="43"/>
      <c r="B30" s="43"/>
      <c r="C30" s="24" t="s">
        <v>26</v>
      </c>
      <c r="D30" s="16">
        <v>78.7</v>
      </c>
      <c r="E30" s="16">
        <v>159.30000000000001</v>
      </c>
      <c r="F30" s="16">
        <v>107.9</v>
      </c>
      <c r="G30" s="16">
        <v>92.7</v>
      </c>
      <c r="H30" s="16">
        <v>184</v>
      </c>
    </row>
    <row r="31" spans="1:8" x14ac:dyDescent="0.2">
      <c r="A31" s="43"/>
      <c r="B31" s="43"/>
      <c r="C31" s="24" t="s">
        <v>27</v>
      </c>
      <c r="D31" s="16">
        <v>256.89999999999998</v>
      </c>
      <c r="E31" s="16">
        <v>505</v>
      </c>
      <c r="F31" s="16">
        <v>386.6</v>
      </c>
      <c r="G31" s="16">
        <v>293</v>
      </c>
      <c r="H31" s="16">
        <v>376.2</v>
      </c>
    </row>
    <row r="32" spans="1:8" x14ac:dyDescent="0.2">
      <c r="A32" s="43"/>
      <c r="B32" s="43"/>
      <c r="C32" s="24" t="s">
        <v>28</v>
      </c>
      <c r="D32" s="16">
        <v>-7.1</v>
      </c>
      <c r="E32" s="16">
        <v>-13.3</v>
      </c>
      <c r="F32" s="16">
        <v>-5.8</v>
      </c>
      <c r="G32" s="16">
        <v>-0.9</v>
      </c>
      <c r="H32" s="16">
        <v>-1.2</v>
      </c>
    </row>
    <row r="33" spans="1:8" x14ac:dyDescent="0.2">
      <c r="A33" s="43"/>
      <c r="B33" s="43"/>
      <c r="C33" s="30" t="s">
        <v>29</v>
      </c>
      <c r="D33" s="41">
        <v>249.8</v>
      </c>
      <c r="E33" s="41">
        <v>491.7</v>
      </c>
      <c r="F33" s="41">
        <v>380.8</v>
      </c>
      <c r="G33" s="41">
        <v>292.10000000000002</v>
      </c>
      <c r="H33" s="41">
        <v>375</v>
      </c>
    </row>
    <row r="34" spans="1:8" x14ac:dyDescent="0.2">
      <c r="A34" s="43"/>
      <c r="B34" s="43"/>
      <c r="C34" s="24" t="s">
        <v>30</v>
      </c>
      <c r="D34" s="46">
        <v>4.0095999999999998</v>
      </c>
      <c r="E34" s="46">
        <v>0.96840000000000004</v>
      </c>
      <c r="F34" s="46">
        <v>-0.22550000000000001</v>
      </c>
      <c r="G34" s="46">
        <v>-0.2329</v>
      </c>
      <c r="H34" s="46">
        <v>0.2838</v>
      </c>
    </row>
    <row r="35" spans="1:8" x14ac:dyDescent="0.2">
      <c r="A35" s="43"/>
      <c r="B35" s="43"/>
      <c r="C35" s="24" t="s">
        <v>31</v>
      </c>
      <c r="D35" s="48">
        <v>5.1999999999999998E-2</v>
      </c>
      <c r="E35" s="48">
        <v>8.7999999999999995E-2</v>
      </c>
      <c r="F35" s="48">
        <v>7.1599999999999997E-2</v>
      </c>
      <c r="G35" s="48">
        <v>5.96E-2</v>
      </c>
      <c r="H35" s="48">
        <v>7.0400000000000004E-2</v>
      </c>
    </row>
    <row r="36" spans="1:8" x14ac:dyDescent="0.2">
      <c r="A36" s="43"/>
      <c r="B36" s="43"/>
      <c r="C36" s="24" t="s">
        <v>32</v>
      </c>
      <c r="D36" s="16" t="s">
        <v>11</v>
      </c>
      <c r="E36" s="16" t="s">
        <v>11</v>
      </c>
      <c r="F36" s="16" t="s">
        <v>11</v>
      </c>
      <c r="G36" s="16" t="s">
        <v>11</v>
      </c>
      <c r="H36" s="16" t="s">
        <v>11</v>
      </c>
    </row>
    <row r="37" spans="1:8" x14ac:dyDescent="0.2">
      <c r="A37" s="43"/>
      <c r="B37" s="43"/>
      <c r="C37" s="24" t="s">
        <v>33</v>
      </c>
      <c r="D37" s="16">
        <v>249.8</v>
      </c>
      <c r="E37" s="16">
        <v>465.4</v>
      </c>
      <c r="F37" s="16">
        <v>387.3</v>
      </c>
      <c r="G37" s="16">
        <v>286.3</v>
      </c>
      <c r="H37" s="16">
        <v>342.6</v>
      </c>
    </row>
    <row r="38" spans="1:8" x14ac:dyDescent="0.2">
      <c r="A38" s="43"/>
      <c r="B38" s="43"/>
      <c r="C38" s="24" t="s">
        <v>34</v>
      </c>
      <c r="D38" s="16">
        <v>0.53</v>
      </c>
      <c r="E38" s="16">
        <v>1.01</v>
      </c>
      <c r="F38" s="16">
        <v>0.88</v>
      </c>
      <c r="G38" s="16">
        <v>0.66</v>
      </c>
      <c r="H38" s="16">
        <v>0.79</v>
      </c>
    </row>
    <row r="39" spans="1:8" x14ac:dyDescent="0.2">
      <c r="A39" s="43"/>
      <c r="B39" s="43"/>
      <c r="C39" s="24" t="s">
        <v>35</v>
      </c>
      <c r="D39" s="46">
        <v>4.2008000000000001</v>
      </c>
      <c r="E39" s="46">
        <v>0.91200000000000003</v>
      </c>
      <c r="F39" s="46">
        <v>-0.12720000000000001</v>
      </c>
      <c r="G39" s="46">
        <v>-0.25130000000000002</v>
      </c>
      <c r="H39" s="46">
        <v>0.1978</v>
      </c>
    </row>
    <row r="40" spans="1:8" x14ac:dyDescent="0.2">
      <c r="A40" s="43"/>
      <c r="B40" s="43"/>
      <c r="C40" s="30" t="s">
        <v>36</v>
      </c>
      <c r="D40" s="41">
        <v>0.48</v>
      </c>
      <c r="E40" s="41">
        <v>1.01</v>
      </c>
      <c r="F40" s="41">
        <v>0.88</v>
      </c>
      <c r="G40" s="41">
        <v>0.66</v>
      </c>
      <c r="H40" s="41">
        <v>0.79</v>
      </c>
    </row>
    <row r="41" spans="1:8" x14ac:dyDescent="0.2">
      <c r="A41" s="43"/>
      <c r="B41" s="43"/>
      <c r="C41" s="24" t="s">
        <v>37</v>
      </c>
      <c r="D41" s="46">
        <v>3.6099000000000001</v>
      </c>
      <c r="E41" s="46">
        <v>1.1304000000000001</v>
      </c>
      <c r="F41" s="46">
        <v>-0.12740000000000001</v>
      </c>
      <c r="G41" s="46">
        <v>-0.25109999999999999</v>
      </c>
      <c r="H41" s="46">
        <v>0.1976</v>
      </c>
    </row>
    <row r="42" spans="1:8" x14ac:dyDescent="0.2">
      <c r="A42" s="43"/>
      <c r="B42" s="43"/>
      <c r="C42" s="24" t="s">
        <v>38</v>
      </c>
      <c r="D42" s="16">
        <v>471.98</v>
      </c>
      <c r="E42" s="16">
        <v>459.91</v>
      </c>
      <c r="F42" s="16">
        <v>438.5</v>
      </c>
      <c r="G42" s="16">
        <v>432.93</v>
      </c>
      <c r="H42" s="16">
        <v>432.5</v>
      </c>
    </row>
    <row r="43" spans="1:8" x14ac:dyDescent="0.2">
      <c r="A43" s="43"/>
      <c r="B43" s="43"/>
      <c r="C43" s="24" t="s">
        <v>39</v>
      </c>
      <c r="D43" s="16">
        <v>471.98</v>
      </c>
      <c r="E43" s="16">
        <v>459.91</v>
      </c>
      <c r="F43" s="16">
        <v>438.5</v>
      </c>
      <c r="G43" s="16">
        <v>432.93</v>
      </c>
      <c r="H43" s="16">
        <v>432.5</v>
      </c>
    </row>
    <row r="44" spans="1:8" x14ac:dyDescent="0.2">
      <c r="A44" s="43"/>
      <c r="B44" s="43"/>
      <c r="C44" s="24" t="s">
        <v>40</v>
      </c>
      <c r="D44" s="16" t="s">
        <v>11</v>
      </c>
      <c r="E44" s="16" t="s">
        <v>11</v>
      </c>
      <c r="F44" s="16" t="s">
        <v>11</v>
      </c>
      <c r="G44" s="16" t="s">
        <v>11</v>
      </c>
      <c r="H44" s="16" t="s">
        <v>11</v>
      </c>
    </row>
    <row r="45" spans="1:8" x14ac:dyDescent="0.2">
      <c r="A45" s="43"/>
      <c r="B45" s="43"/>
      <c r="C45" s="24" t="s">
        <v>41</v>
      </c>
      <c r="D45" s="41" t="s">
        <v>11</v>
      </c>
      <c r="E45" s="41" t="s">
        <v>11</v>
      </c>
      <c r="F45" s="41" t="s">
        <v>11</v>
      </c>
      <c r="G45" s="41" t="s">
        <v>11</v>
      </c>
      <c r="H45" s="41" t="s">
        <v>11</v>
      </c>
    </row>
    <row r="46" spans="1:8" x14ac:dyDescent="0.2">
      <c r="A46" s="43"/>
      <c r="B46" s="43"/>
      <c r="C46" s="30" t="s">
        <v>1</v>
      </c>
      <c r="D46" s="41">
        <v>725.6</v>
      </c>
      <c r="E46" s="41">
        <v>642.9</v>
      </c>
      <c r="F46" s="41">
        <v>724.6</v>
      </c>
      <c r="G46" s="41">
        <v>722.3</v>
      </c>
      <c r="H46" s="41">
        <v>836.1</v>
      </c>
    </row>
    <row r="47" spans="1:8" x14ac:dyDescent="0.2">
      <c r="A47" s="43"/>
      <c r="B47" s="43"/>
      <c r="C47" s="24" t="s">
        <v>42</v>
      </c>
      <c r="D47" s="46">
        <v>0.53210000000000002</v>
      </c>
      <c r="E47" s="46">
        <v>-0.114</v>
      </c>
      <c r="F47" s="46">
        <v>0.12709999999999999</v>
      </c>
      <c r="G47" s="46">
        <v>-3.2000000000000002E-3</v>
      </c>
      <c r="H47" s="46">
        <v>0.15759999999999999</v>
      </c>
    </row>
    <row r="48" spans="1:8" x14ac:dyDescent="0.2">
      <c r="A48" s="43"/>
      <c r="B48" s="43"/>
      <c r="C48" s="24" t="s">
        <v>43</v>
      </c>
      <c r="D48" s="48">
        <v>0.151</v>
      </c>
      <c r="E48" s="48">
        <v>0.11509999999999999</v>
      </c>
      <c r="F48" s="48">
        <v>0.1363</v>
      </c>
      <c r="G48" s="48">
        <v>0.1474</v>
      </c>
      <c r="H48" s="48">
        <v>0.157</v>
      </c>
    </row>
    <row r="49" spans="1:8" x14ac:dyDescent="0.2">
      <c r="A49" s="43"/>
      <c r="B49" s="43"/>
      <c r="C49" s="24" t="s">
        <v>2</v>
      </c>
      <c r="D49" s="16">
        <v>543.20000000000005</v>
      </c>
      <c r="E49" s="16">
        <v>448.9</v>
      </c>
      <c r="F49" s="16">
        <v>523.20000000000005</v>
      </c>
      <c r="G49" s="16">
        <v>536.5</v>
      </c>
      <c r="H49" s="16">
        <v>628.79999999999995</v>
      </c>
    </row>
    <row r="50" spans="1:8" x14ac:dyDescent="0.2">
      <c r="A50" s="43"/>
      <c r="B50" s="43"/>
      <c r="C50" s="43"/>
      <c r="D50" s="43"/>
      <c r="E50" s="43"/>
      <c r="F50" s="43"/>
      <c r="G50" s="43"/>
      <c r="H50" s="43"/>
    </row>
    <row r="52" spans="1:8" x14ac:dyDescent="0.2">
      <c r="A52" s="48"/>
    </row>
    <row r="53" spans="1:8" x14ac:dyDescent="0.2">
      <c r="C53" s="15" t="s">
        <v>110</v>
      </c>
      <c r="D53" s="15"/>
      <c r="E53" s="15"/>
      <c r="F53" s="15"/>
      <c r="G53" s="15"/>
      <c r="H53" s="15"/>
    </row>
    <row r="54" spans="1:8" x14ac:dyDescent="0.2">
      <c r="C54" s="24" t="s">
        <v>3</v>
      </c>
      <c r="D54" s="41">
        <v>2022</v>
      </c>
      <c r="E54" s="41">
        <v>2023</v>
      </c>
      <c r="F54" s="41">
        <v>2024</v>
      </c>
      <c r="G54" s="41">
        <v>2025</v>
      </c>
      <c r="H54" s="41">
        <v>2026</v>
      </c>
    </row>
    <row r="55" spans="1:8" x14ac:dyDescent="0.2">
      <c r="B55" s="50" t="s">
        <v>44</v>
      </c>
      <c r="C55" s="24"/>
      <c r="D55" s="42"/>
      <c r="E55" s="42"/>
      <c r="F55" s="42"/>
      <c r="G55" s="42"/>
      <c r="H55" s="42"/>
    </row>
    <row r="56" spans="1:8" x14ac:dyDescent="0.2">
      <c r="C56" s="30" t="s">
        <v>45</v>
      </c>
      <c r="D56" s="44">
        <v>2612.3000000000002</v>
      </c>
      <c r="E56" s="44">
        <v>2597.1999999999998</v>
      </c>
      <c r="F56" s="45">
        <v>2476</v>
      </c>
      <c r="G56" s="44">
        <v>2355.6</v>
      </c>
      <c r="H56" s="44">
        <v>2701.1</v>
      </c>
    </row>
    <row r="57" spans="1:8" x14ac:dyDescent="0.2">
      <c r="C57" s="16" t="s">
        <v>46</v>
      </c>
      <c r="D57" s="16">
        <v>336.8</v>
      </c>
      <c r="E57" s="16">
        <v>332.9</v>
      </c>
      <c r="F57" s="16">
        <v>358.6</v>
      </c>
      <c r="G57" s="16">
        <v>252.2</v>
      </c>
      <c r="H57" s="16">
        <v>388.9</v>
      </c>
    </row>
    <row r="58" spans="1:8" x14ac:dyDescent="0.2">
      <c r="A58" s="48"/>
      <c r="C58" s="16" t="s">
        <v>47</v>
      </c>
      <c r="D58" s="46">
        <v>-0.26300000000000001</v>
      </c>
      <c r="E58" s="46">
        <v>-1.1599999999999999E-2</v>
      </c>
      <c r="F58" s="46">
        <v>7.7200000000000005E-2</v>
      </c>
      <c r="G58" s="46">
        <v>-0.29670000000000002</v>
      </c>
      <c r="H58" s="46">
        <v>0.54200000000000004</v>
      </c>
    </row>
    <row r="59" spans="1:8" x14ac:dyDescent="0.2">
      <c r="C59" s="16" t="s">
        <v>48</v>
      </c>
      <c r="D59" s="16" t="s">
        <v>11</v>
      </c>
      <c r="E59" s="16" t="s">
        <v>11</v>
      </c>
      <c r="F59" s="16" t="s">
        <v>11</v>
      </c>
      <c r="G59" s="16" t="s">
        <v>11</v>
      </c>
      <c r="H59" s="16" t="s">
        <v>11</v>
      </c>
    </row>
    <row r="60" spans="1:8" x14ac:dyDescent="0.2">
      <c r="C60" s="16" t="s">
        <v>49</v>
      </c>
      <c r="D60" s="16">
        <v>485</v>
      </c>
      <c r="E60" s="16">
        <v>418.5</v>
      </c>
      <c r="F60" s="16">
        <v>432.5</v>
      </c>
      <c r="G60" s="16">
        <v>318.10000000000002</v>
      </c>
      <c r="H60" s="16">
        <v>526.9</v>
      </c>
    </row>
    <row r="61" spans="1:8" x14ac:dyDescent="0.2">
      <c r="C61" s="16" t="s">
        <v>50</v>
      </c>
      <c r="D61" s="16">
        <v>314.60000000000002</v>
      </c>
      <c r="E61" s="16">
        <v>296</v>
      </c>
      <c r="F61" s="16">
        <v>304.2</v>
      </c>
      <c r="G61" s="16">
        <v>253.9</v>
      </c>
      <c r="H61" s="16">
        <v>260.60000000000002</v>
      </c>
    </row>
    <row r="62" spans="1:8" x14ac:dyDescent="0.2">
      <c r="C62" s="16" t="s">
        <v>51</v>
      </c>
      <c r="D62" s="16">
        <v>170.4</v>
      </c>
      <c r="E62" s="16">
        <v>122.5</v>
      </c>
      <c r="F62" s="16">
        <v>128.30000000000001</v>
      </c>
      <c r="G62" s="16">
        <v>64.2</v>
      </c>
      <c r="H62" s="16">
        <v>266.3</v>
      </c>
    </row>
    <row r="63" spans="1:8" x14ac:dyDescent="0.2">
      <c r="C63" s="16" t="s">
        <v>52</v>
      </c>
      <c r="D63" s="29">
        <v>1277.5999999999999</v>
      </c>
      <c r="E63" s="29">
        <v>1464.9</v>
      </c>
      <c r="F63" s="29">
        <v>1355.3</v>
      </c>
      <c r="G63" s="29">
        <v>1128.3</v>
      </c>
      <c r="H63" s="29">
        <v>1279.8</v>
      </c>
    </row>
    <row r="64" spans="1:8" x14ac:dyDescent="0.2">
      <c r="C64" s="16" t="s">
        <v>53</v>
      </c>
      <c r="D64" s="16">
        <v>112.5</v>
      </c>
      <c r="E64" s="16">
        <v>111.5</v>
      </c>
      <c r="F64" s="16">
        <v>103.4</v>
      </c>
      <c r="G64" s="16">
        <v>87</v>
      </c>
      <c r="H64" s="16">
        <v>95.7</v>
      </c>
    </row>
    <row r="65" spans="3:8" x14ac:dyDescent="0.2">
      <c r="C65" s="16" t="s">
        <v>54</v>
      </c>
      <c r="D65" s="16" t="s">
        <v>11</v>
      </c>
      <c r="E65" s="16" t="s">
        <v>11</v>
      </c>
      <c r="F65" s="16" t="s">
        <v>11</v>
      </c>
      <c r="G65" s="16" t="s">
        <v>11</v>
      </c>
      <c r="H65" s="16" t="s">
        <v>11</v>
      </c>
    </row>
    <row r="66" spans="3:8" x14ac:dyDescent="0.2">
      <c r="C66" s="16" t="s">
        <v>55</v>
      </c>
      <c r="D66" s="16" t="s">
        <v>11</v>
      </c>
      <c r="E66" s="16" t="s">
        <v>11</v>
      </c>
      <c r="F66" s="16" t="s">
        <v>11</v>
      </c>
      <c r="G66" s="16" t="s">
        <v>11</v>
      </c>
      <c r="H66" s="16" t="s">
        <v>11</v>
      </c>
    </row>
    <row r="67" spans="3:8" x14ac:dyDescent="0.2">
      <c r="C67" s="16" t="s">
        <v>56</v>
      </c>
      <c r="D67" s="16">
        <v>400.4</v>
      </c>
      <c r="E67" s="16">
        <v>240.7</v>
      </c>
      <c r="F67" s="16">
        <v>204.9</v>
      </c>
      <c r="G67" s="16">
        <v>561.79999999999995</v>
      </c>
      <c r="H67" s="16">
        <v>408.7</v>
      </c>
    </row>
    <row r="68" spans="3:8" x14ac:dyDescent="0.2">
      <c r="C68" s="16" t="s">
        <v>57</v>
      </c>
      <c r="D68" s="16" t="s">
        <v>11</v>
      </c>
      <c r="E68" s="16" t="s">
        <v>11</v>
      </c>
      <c r="F68" s="16" t="s">
        <v>11</v>
      </c>
      <c r="G68" s="16" t="s">
        <v>11</v>
      </c>
      <c r="H68" s="16" t="s">
        <v>11</v>
      </c>
    </row>
    <row r="69" spans="3:8" x14ac:dyDescent="0.2">
      <c r="C69" s="16" t="s">
        <v>58</v>
      </c>
      <c r="D69" s="16">
        <v>400.4</v>
      </c>
      <c r="E69" s="16">
        <v>240.7</v>
      </c>
      <c r="F69" s="16">
        <v>204.9</v>
      </c>
      <c r="G69" s="16">
        <v>561.79999999999995</v>
      </c>
      <c r="H69" s="16">
        <v>408.7</v>
      </c>
    </row>
    <row r="70" spans="3:8" x14ac:dyDescent="0.2">
      <c r="C70" s="30" t="s">
        <v>59</v>
      </c>
      <c r="D70" s="44">
        <v>4142.7</v>
      </c>
      <c r="E70" s="44">
        <v>4302.7</v>
      </c>
      <c r="F70" s="44">
        <v>4454.8999999999996</v>
      </c>
      <c r="G70" s="44">
        <v>5130.7</v>
      </c>
      <c r="H70" s="44">
        <v>6486.5</v>
      </c>
    </row>
    <row r="71" spans="3:8" x14ac:dyDescent="0.2">
      <c r="C71" s="16" t="s">
        <v>60</v>
      </c>
      <c r="D71" s="46">
        <v>9.4500000000000001E-2</v>
      </c>
      <c r="E71" s="46">
        <v>3.8600000000000002E-2</v>
      </c>
      <c r="F71" s="46">
        <v>3.5400000000000001E-2</v>
      </c>
      <c r="G71" s="46">
        <v>0.1517</v>
      </c>
      <c r="H71" s="46">
        <v>0.26429999999999998</v>
      </c>
    </row>
    <row r="72" spans="3:8" x14ac:dyDescent="0.2">
      <c r="C72" s="16" t="s">
        <v>61</v>
      </c>
      <c r="D72" s="49">
        <v>1011</v>
      </c>
      <c r="E72" s="49">
        <v>1132</v>
      </c>
      <c r="F72" s="16">
        <v>962.6</v>
      </c>
      <c r="G72" s="29">
        <v>1097.2</v>
      </c>
      <c r="H72" s="29">
        <v>1426.1</v>
      </c>
    </row>
    <row r="73" spans="3:8" x14ac:dyDescent="0.2">
      <c r="C73" s="16" t="s">
        <v>62</v>
      </c>
      <c r="D73" s="29">
        <v>2867.2</v>
      </c>
      <c r="E73" s="29">
        <v>3165.3</v>
      </c>
      <c r="F73" s="29">
        <v>3139.6</v>
      </c>
      <c r="G73" s="29">
        <v>3439.5</v>
      </c>
      <c r="H73" s="29">
        <v>3897.7</v>
      </c>
    </row>
    <row r="74" spans="3:8" x14ac:dyDescent="0.2">
      <c r="C74" s="16" t="s">
        <v>63</v>
      </c>
      <c r="D74" s="29">
        <v>-1856.2</v>
      </c>
      <c r="E74" s="29">
        <v>-2033.3</v>
      </c>
      <c r="F74" s="49">
        <v>-2177</v>
      </c>
      <c r="G74" s="29">
        <v>-2342.3000000000002</v>
      </c>
      <c r="H74" s="29">
        <v>-2471.6</v>
      </c>
    </row>
    <row r="75" spans="3:8" x14ac:dyDescent="0.2">
      <c r="C75" s="16" t="s">
        <v>64</v>
      </c>
      <c r="D75" s="16">
        <v>206.6</v>
      </c>
      <c r="E75" s="16">
        <v>306.5</v>
      </c>
      <c r="F75" s="16">
        <v>513.4</v>
      </c>
      <c r="G75" s="16">
        <v>995.5</v>
      </c>
      <c r="H75" s="29">
        <v>1280.0999999999999</v>
      </c>
    </row>
    <row r="76" spans="3:8" x14ac:dyDescent="0.2">
      <c r="C76" s="16" t="s">
        <v>65</v>
      </c>
      <c r="D76" s="16">
        <v>120.6</v>
      </c>
      <c r="E76" s="16">
        <v>24.1</v>
      </c>
      <c r="F76" s="16">
        <v>42.2</v>
      </c>
      <c r="G76" s="16">
        <v>58.5</v>
      </c>
      <c r="H76" s="16">
        <v>99.4</v>
      </c>
    </row>
    <row r="77" spans="3:8" x14ac:dyDescent="0.2">
      <c r="C77" s="16" t="s">
        <v>66</v>
      </c>
      <c r="D77" s="16">
        <v>44.4</v>
      </c>
      <c r="E77" s="16">
        <v>9.9</v>
      </c>
      <c r="F77" s="16">
        <v>9.9</v>
      </c>
      <c r="G77" s="16">
        <v>30.4</v>
      </c>
      <c r="H77" s="16">
        <v>81</v>
      </c>
    </row>
    <row r="78" spans="3:8" x14ac:dyDescent="0.2">
      <c r="C78" s="16" t="s">
        <v>67</v>
      </c>
      <c r="D78" s="16">
        <v>76.2</v>
      </c>
      <c r="E78" s="16">
        <v>14.2</v>
      </c>
      <c r="F78" s="16">
        <v>32.299999999999997</v>
      </c>
      <c r="G78" s="16">
        <v>28.1</v>
      </c>
      <c r="H78" s="16">
        <v>18.399999999999999</v>
      </c>
    </row>
    <row r="79" spans="3:8" x14ac:dyDescent="0.2">
      <c r="C79" s="16" t="s">
        <v>68</v>
      </c>
      <c r="D79" s="16" t="s">
        <v>11</v>
      </c>
      <c r="E79" s="16" t="s">
        <v>11</v>
      </c>
      <c r="F79" s="16" t="s">
        <v>11</v>
      </c>
      <c r="G79" s="16" t="s">
        <v>11</v>
      </c>
      <c r="H79" s="16" t="s">
        <v>11</v>
      </c>
    </row>
    <row r="80" spans="3:8" x14ac:dyDescent="0.2">
      <c r="C80" s="16" t="s">
        <v>69</v>
      </c>
      <c r="D80" s="16">
        <v>192.2</v>
      </c>
      <c r="E80" s="16">
        <v>242.9</v>
      </c>
      <c r="F80" s="16">
        <v>460.7</v>
      </c>
      <c r="G80" s="16">
        <v>623.9</v>
      </c>
      <c r="H80" s="16">
        <v>979.8</v>
      </c>
    </row>
    <row r="81" spans="3:8" x14ac:dyDescent="0.2">
      <c r="C81" s="16" t="s">
        <v>70</v>
      </c>
      <c r="D81" s="16" t="s">
        <v>11</v>
      </c>
      <c r="E81" s="16" t="s">
        <v>11</v>
      </c>
      <c r="F81" s="16" t="s">
        <v>11</v>
      </c>
      <c r="G81" s="16" t="s">
        <v>11</v>
      </c>
      <c r="H81" s="16" t="s">
        <v>11</v>
      </c>
    </row>
    <row r="82" spans="3:8" x14ac:dyDescent="0.2">
      <c r="C82" s="16" t="s">
        <v>71</v>
      </c>
      <c r="D82" s="16" t="s">
        <v>11</v>
      </c>
      <c r="E82" s="16" t="s">
        <v>11</v>
      </c>
      <c r="F82" s="16" t="s">
        <v>11</v>
      </c>
      <c r="G82" s="16" t="s">
        <v>11</v>
      </c>
      <c r="H82" s="16" t="s">
        <v>11</v>
      </c>
    </row>
    <row r="83" spans="3:8" x14ac:dyDescent="0.2">
      <c r="C83" s="16" t="s">
        <v>72</v>
      </c>
      <c r="D83" s="16">
        <v>100.8</v>
      </c>
      <c r="E83" s="16">
        <v>82.1</v>
      </c>
      <c r="F83" s="16">
        <v>109.6</v>
      </c>
      <c r="G83" s="16">
        <v>110.5</v>
      </c>
      <c r="H83" s="16">
        <v>127.5</v>
      </c>
    </row>
    <row r="84" spans="3:8" x14ac:dyDescent="0.2">
      <c r="C84" s="16" t="s">
        <v>73</v>
      </c>
      <c r="D84" s="16" t="s">
        <v>11</v>
      </c>
      <c r="E84" s="16" t="s">
        <v>11</v>
      </c>
      <c r="F84" s="16" t="s">
        <v>11</v>
      </c>
      <c r="G84" s="16" t="s">
        <v>11</v>
      </c>
      <c r="H84" s="16" t="s">
        <v>11</v>
      </c>
    </row>
    <row r="85" spans="3:8" x14ac:dyDescent="0.2">
      <c r="C85" s="16" t="s">
        <v>74</v>
      </c>
      <c r="D85" s="16">
        <v>91.4</v>
      </c>
      <c r="E85" s="16">
        <v>160.80000000000001</v>
      </c>
      <c r="F85" s="16">
        <v>351.1</v>
      </c>
      <c r="G85" s="16">
        <v>513.4</v>
      </c>
      <c r="H85" s="16">
        <v>852.3</v>
      </c>
    </row>
    <row r="86" spans="3:8" x14ac:dyDescent="0.2">
      <c r="C86" s="30" t="s">
        <v>75</v>
      </c>
      <c r="D86" s="44">
        <v>1027.5999999999999</v>
      </c>
      <c r="E86" s="44">
        <v>1016.9</v>
      </c>
      <c r="F86" s="41">
        <v>964.8</v>
      </c>
      <c r="G86" s="44">
        <v>1236.8</v>
      </c>
      <c r="H86" s="44">
        <v>1500.4</v>
      </c>
    </row>
    <row r="87" spans="3:8" x14ac:dyDescent="0.2">
      <c r="C87" s="16" t="s">
        <v>76</v>
      </c>
      <c r="D87" s="16">
        <v>358.1</v>
      </c>
      <c r="E87" s="16">
        <v>375</v>
      </c>
      <c r="F87" s="16">
        <v>335.7</v>
      </c>
      <c r="G87" s="16">
        <v>339.9</v>
      </c>
      <c r="H87" s="16">
        <v>457.7</v>
      </c>
    </row>
    <row r="88" spans="3:8" x14ac:dyDescent="0.2">
      <c r="C88" s="16" t="s">
        <v>77</v>
      </c>
      <c r="D88" s="16">
        <v>269.60000000000002</v>
      </c>
      <c r="E88" s="16">
        <v>240.9</v>
      </c>
      <c r="F88" s="16">
        <v>231.7</v>
      </c>
      <c r="G88" s="16">
        <v>253.9</v>
      </c>
      <c r="H88" s="16">
        <v>312.8</v>
      </c>
    </row>
    <row r="89" spans="3:8" x14ac:dyDescent="0.2">
      <c r="C89" s="16" t="s">
        <v>78</v>
      </c>
      <c r="D89" s="16" t="s">
        <v>11</v>
      </c>
      <c r="E89" s="16" t="s">
        <v>11</v>
      </c>
      <c r="F89" s="16" t="s">
        <v>11</v>
      </c>
      <c r="G89" s="16" t="s">
        <v>11</v>
      </c>
      <c r="H89" s="16" t="s">
        <v>11</v>
      </c>
    </row>
    <row r="90" spans="3:8" x14ac:dyDescent="0.2">
      <c r="C90" s="16" t="s">
        <v>79</v>
      </c>
      <c r="D90" s="16">
        <v>117</v>
      </c>
      <c r="E90" s="16">
        <v>119.6</v>
      </c>
      <c r="F90" s="16">
        <v>112.5</v>
      </c>
      <c r="G90" s="16">
        <v>184.6</v>
      </c>
      <c r="H90" s="16">
        <v>164</v>
      </c>
    </row>
    <row r="91" spans="3:8" x14ac:dyDescent="0.2">
      <c r="C91" s="16" t="s">
        <v>80</v>
      </c>
      <c r="D91" s="16" t="s">
        <v>11</v>
      </c>
      <c r="E91" s="16" t="s">
        <v>11</v>
      </c>
      <c r="F91" s="16" t="s">
        <v>11</v>
      </c>
      <c r="G91" s="16">
        <v>75</v>
      </c>
      <c r="H91" s="16" t="s">
        <v>11</v>
      </c>
    </row>
    <row r="92" spans="3:8" x14ac:dyDescent="0.2">
      <c r="C92" s="16" t="s">
        <v>81</v>
      </c>
      <c r="D92" s="16">
        <v>117</v>
      </c>
      <c r="E92" s="16">
        <v>119.6</v>
      </c>
      <c r="F92" s="16">
        <v>112.5</v>
      </c>
      <c r="G92" s="16">
        <v>109.6</v>
      </c>
      <c r="H92" s="16">
        <v>164</v>
      </c>
    </row>
    <row r="93" spans="3:8" x14ac:dyDescent="0.2">
      <c r="C93" s="16" t="s">
        <v>82</v>
      </c>
      <c r="D93" s="16">
        <v>282.89999999999998</v>
      </c>
      <c r="E93" s="16">
        <v>281.39999999999998</v>
      </c>
      <c r="F93" s="16">
        <v>284.89999999999998</v>
      </c>
      <c r="G93" s="16">
        <v>458.4</v>
      </c>
      <c r="H93" s="16">
        <v>565.9</v>
      </c>
    </row>
    <row r="94" spans="3:8" x14ac:dyDescent="0.2">
      <c r="C94" s="16" t="s">
        <v>83</v>
      </c>
      <c r="D94" s="16">
        <v>50.9</v>
      </c>
      <c r="E94" s="16">
        <v>102.6</v>
      </c>
      <c r="F94" s="16">
        <v>94.4</v>
      </c>
      <c r="G94" s="16">
        <v>52</v>
      </c>
      <c r="H94" s="16">
        <v>81.099999999999994</v>
      </c>
    </row>
    <row r="95" spans="3:8" x14ac:dyDescent="0.2">
      <c r="C95" s="16" t="s">
        <v>84</v>
      </c>
      <c r="D95" s="16" t="s">
        <v>11</v>
      </c>
      <c r="E95" s="16" t="s">
        <v>11</v>
      </c>
      <c r="F95" s="16" t="s">
        <v>11</v>
      </c>
      <c r="G95" s="16" t="s">
        <v>11</v>
      </c>
      <c r="H95" s="16" t="s">
        <v>11</v>
      </c>
    </row>
    <row r="96" spans="3:8" x14ac:dyDescent="0.2">
      <c r="C96" s="16" t="s">
        <v>85</v>
      </c>
      <c r="D96" s="16">
        <v>232</v>
      </c>
      <c r="E96" s="16">
        <v>178.8</v>
      </c>
      <c r="F96" s="16">
        <v>190.5</v>
      </c>
      <c r="G96" s="16">
        <v>406.4</v>
      </c>
      <c r="H96" s="16">
        <v>484.8</v>
      </c>
    </row>
    <row r="97" spans="1:8" x14ac:dyDescent="0.2">
      <c r="C97" s="30" t="s">
        <v>86</v>
      </c>
      <c r="D97" s="44">
        <v>2834.1</v>
      </c>
      <c r="E97" s="44">
        <v>2634.5</v>
      </c>
      <c r="F97" s="44">
        <v>2581.9</v>
      </c>
      <c r="G97" s="44">
        <v>3142.6</v>
      </c>
      <c r="H97" s="44">
        <v>4033.8</v>
      </c>
    </row>
    <row r="98" spans="1:8" x14ac:dyDescent="0.2">
      <c r="C98" s="16" t="s">
        <v>87</v>
      </c>
      <c r="D98" s="46">
        <v>0.10100000000000001</v>
      </c>
      <c r="E98" s="46">
        <v>-7.0400000000000004E-2</v>
      </c>
      <c r="F98" s="47">
        <v>-0.02</v>
      </c>
      <c r="G98" s="46">
        <v>0.2172</v>
      </c>
      <c r="H98" s="46">
        <v>0.28360000000000002</v>
      </c>
    </row>
    <row r="99" spans="1:8" x14ac:dyDescent="0.2">
      <c r="C99" s="16" t="s">
        <v>88</v>
      </c>
      <c r="D99" s="16">
        <v>827.9</v>
      </c>
      <c r="E99" s="16">
        <v>749.7</v>
      </c>
      <c r="F99" s="16">
        <v>806.2</v>
      </c>
      <c r="G99" s="29">
        <v>1118.2</v>
      </c>
      <c r="H99" s="29">
        <v>1651.3</v>
      </c>
    </row>
    <row r="100" spans="1:8" x14ac:dyDescent="0.2">
      <c r="C100" s="16" t="s">
        <v>89</v>
      </c>
      <c r="D100" s="16">
        <v>503.6</v>
      </c>
      <c r="E100" s="16">
        <v>560.29999999999995</v>
      </c>
      <c r="F100" s="16">
        <v>533.79999999999995</v>
      </c>
      <c r="G100" s="16">
        <v>558.20000000000005</v>
      </c>
      <c r="H100" s="16">
        <v>714.6</v>
      </c>
    </row>
    <row r="101" spans="1:8" x14ac:dyDescent="0.2">
      <c r="C101" s="16" t="s">
        <v>90</v>
      </c>
      <c r="D101" s="16">
        <v>475</v>
      </c>
      <c r="E101" s="16">
        <v>307.60000000000002</v>
      </c>
      <c r="F101" s="16">
        <v>277.10000000000002</v>
      </c>
      <c r="G101" s="16">
        <v>229.4</v>
      </c>
      <c r="H101" s="16">
        <v>167.5</v>
      </c>
    </row>
    <row r="102" spans="1:8" x14ac:dyDescent="0.2">
      <c r="C102" s="16" t="s">
        <v>91</v>
      </c>
      <c r="D102" s="16" t="s">
        <v>11</v>
      </c>
      <c r="E102" s="16" t="s">
        <v>11</v>
      </c>
      <c r="F102" s="16" t="s">
        <v>11</v>
      </c>
      <c r="G102" s="16" t="s">
        <v>11</v>
      </c>
      <c r="H102" s="16" t="s">
        <v>11</v>
      </c>
    </row>
    <row r="103" spans="1:8" x14ac:dyDescent="0.2">
      <c r="C103" s="16" t="s">
        <v>92</v>
      </c>
      <c r="D103" s="16">
        <v>1.6</v>
      </c>
      <c r="E103" s="16">
        <v>1.7</v>
      </c>
      <c r="F103" s="16">
        <v>1.8</v>
      </c>
      <c r="G103" s="16">
        <v>1.9</v>
      </c>
      <c r="H103" s="16">
        <v>1.8</v>
      </c>
    </row>
    <row r="104" spans="1:8" x14ac:dyDescent="0.2">
      <c r="C104" s="16" t="s">
        <v>93</v>
      </c>
      <c r="D104" s="16">
        <v>40.4</v>
      </c>
      <c r="E104" s="16">
        <v>15.7</v>
      </c>
      <c r="F104" s="16">
        <v>27.5</v>
      </c>
      <c r="G104" s="16">
        <v>13</v>
      </c>
      <c r="H104" s="16">
        <v>15</v>
      </c>
    </row>
    <row r="105" spans="1:8" x14ac:dyDescent="0.2">
      <c r="C105" s="16" t="s">
        <v>94</v>
      </c>
      <c r="D105" s="16">
        <v>433</v>
      </c>
      <c r="E105" s="16">
        <v>290.2</v>
      </c>
      <c r="F105" s="16">
        <v>247.8</v>
      </c>
      <c r="G105" s="16">
        <v>214.5</v>
      </c>
      <c r="H105" s="16">
        <v>150.69999999999999</v>
      </c>
    </row>
    <row r="106" spans="1:8" x14ac:dyDescent="0.2">
      <c r="A106" s="48"/>
      <c r="C106" s="30" t="s">
        <v>95</v>
      </c>
      <c r="D106" s="44">
        <v>1308.5999999999999</v>
      </c>
      <c r="E106" s="44">
        <v>1668.2</v>
      </c>
      <c r="F106" s="45">
        <v>1873</v>
      </c>
      <c r="G106" s="44">
        <v>1988.1</v>
      </c>
      <c r="H106" s="44">
        <v>2452.6999999999998</v>
      </c>
    </row>
    <row r="107" spans="1:8" x14ac:dyDescent="0.2">
      <c r="C107" s="16" t="s">
        <v>96</v>
      </c>
      <c r="D107" s="16" t="s">
        <v>11</v>
      </c>
      <c r="E107" s="16" t="s">
        <v>11</v>
      </c>
      <c r="F107" s="16" t="s">
        <v>11</v>
      </c>
      <c r="G107" s="16" t="s">
        <v>11</v>
      </c>
      <c r="H107" s="16" t="s">
        <v>11</v>
      </c>
    </row>
    <row r="108" spans="1:8" x14ac:dyDescent="0.2">
      <c r="C108" s="16" t="s">
        <v>97</v>
      </c>
      <c r="D108" s="16" t="s">
        <v>11</v>
      </c>
      <c r="E108" s="16" t="s">
        <v>11</v>
      </c>
      <c r="F108" s="16" t="s">
        <v>11</v>
      </c>
      <c r="G108" s="16" t="s">
        <v>11</v>
      </c>
      <c r="H108" s="16" t="s">
        <v>11</v>
      </c>
    </row>
    <row r="109" spans="1:8" x14ac:dyDescent="0.2">
      <c r="C109" s="16" t="s">
        <v>98</v>
      </c>
      <c r="D109" s="16" t="s">
        <v>11</v>
      </c>
      <c r="E109" s="16" t="s">
        <v>11</v>
      </c>
      <c r="F109" s="16" t="s">
        <v>11</v>
      </c>
      <c r="G109" s="16" t="s">
        <v>11</v>
      </c>
      <c r="H109" s="16" t="s">
        <v>11</v>
      </c>
    </row>
    <row r="110" spans="1:8" x14ac:dyDescent="0.2">
      <c r="C110" s="16" t="s">
        <v>99</v>
      </c>
      <c r="D110" s="16" t="s">
        <v>11</v>
      </c>
      <c r="E110" s="16" t="s">
        <v>11</v>
      </c>
      <c r="F110" s="16" t="s">
        <v>11</v>
      </c>
      <c r="G110" s="16" t="s">
        <v>11</v>
      </c>
      <c r="H110" s="16" t="s">
        <v>11</v>
      </c>
    </row>
    <row r="111" spans="1:8" x14ac:dyDescent="0.2">
      <c r="C111" s="16" t="s">
        <v>100</v>
      </c>
      <c r="D111" s="16">
        <v>938.5</v>
      </c>
      <c r="E111" s="16">
        <v>938.5</v>
      </c>
      <c r="F111" s="16">
        <v>938.5</v>
      </c>
      <c r="G111" s="16">
        <v>938.5</v>
      </c>
      <c r="H111" s="16">
        <v>938.5</v>
      </c>
    </row>
    <row r="112" spans="1:8" x14ac:dyDescent="0.2">
      <c r="A112" s="48"/>
      <c r="C112" s="16" t="s">
        <v>101</v>
      </c>
      <c r="D112" s="16">
        <v>64.099999999999994</v>
      </c>
      <c r="E112" s="16">
        <v>64.099999999999994</v>
      </c>
      <c r="F112" s="16">
        <v>64.099999999999994</v>
      </c>
      <c r="G112" s="16">
        <v>64.099999999999994</v>
      </c>
      <c r="H112" s="16">
        <v>64.099999999999994</v>
      </c>
    </row>
    <row r="113" spans="3:8" x14ac:dyDescent="0.2">
      <c r="C113" s="16" t="s">
        <v>102</v>
      </c>
      <c r="D113" s="16">
        <v>874.4</v>
      </c>
      <c r="E113" s="16">
        <v>874.4</v>
      </c>
      <c r="F113" s="16">
        <v>874.4</v>
      </c>
      <c r="G113" s="16">
        <v>874.4</v>
      </c>
      <c r="H113" s="16">
        <v>874.4</v>
      </c>
    </row>
    <row r="114" spans="3:8" x14ac:dyDescent="0.2">
      <c r="C114" s="16" t="s">
        <v>103</v>
      </c>
      <c r="D114" s="29">
        <v>1778.1</v>
      </c>
      <c r="E114" s="29">
        <v>2285.5</v>
      </c>
      <c r="F114" s="49">
        <v>2623</v>
      </c>
      <c r="G114" s="29">
        <v>2747.4</v>
      </c>
      <c r="H114" s="29">
        <v>3240.5</v>
      </c>
    </row>
    <row r="115" spans="3:8" x14ac:dyDescent="0.2">
      <c r="C115" s="16" t="s">
        <v>104</v>
      </c>
      <c r="D115" s="49">
        <v>-1430</v>
      </c>
      <c r="E115" s="29">
        <v>-1595.8</v>
      </c>
      <c r="F115" s="29">
        <v>-1716.7</v>
      </c>
      <c r="G115" s="29">
        <v>-1725.8</v>
      </c>
      <c r="H115" s="29">
        <v>-1756.3</v>
      </c>
    </row>
    <row r="116" spans="3:8" x14ac:dyDescent="0.2">
      <c r="C116" s="16" t="s">
        <v>105</v>
      </c>
      <c r="D116" s="16">
        <v>-555.70000000000005</v>
      </c>
      <c r="E116" s="16">
        <v>-711</v>
      </c>
      <c r="F116" s="16">
        <v>-837.4</v>
      </c>
      <c r="G116" s="16">
        <v>-837.4</v>
      </c>
      <c r="H116" s="16">
        <v>-855.5</v>
      </c>
    </row>
    <row r="117" spans="3:8" x14ac:dyDescent="0.2">
      <c r="C117" s="16" t="s">
        <v>106</v>
      </c>
      <c r="D117" s="16">
        <v>-874.3</v>
      </c>
      <c r="E117" s="16">
        <v>-884.8</v>
      </c>
      <c r="F117" s="16">
        <v>-879.3</v>
      </c>
      <c r="G117" s="16">
        <v>-888.4</v>
      </c>
      <c r="H117" s="16">
        <v>-900.8</v>
      </c>
    </row>
    <row r="118" spans="3:8" x14ac:dyDescent="0.2">
      <c r="C118" s="16" t="s">
        <v>28</v>
      </c>
      <c r="D118" s="16">
        <v>22</v>
      </c>
      <c r="E118" s="16">
        <v>40</v>
      </c>
      <c r="F118" s="16">
        <v>28.2</v>
      </c>
      <c r="G118" s="16">
        <v>28</v>
      </c>
      <c r="H118" s="16">
        <v>30</v>
      </c>
    </row>
    <row r="119" spans="3:8" x14ac:dyDescent="0.2">
      <c r="C119" s="30" t="s">
        <v>107</v>
      </c>
      <c r="D119" s="44">
        <v>4142.7</v>
      </c>
      <c r="E119" s="44">
        <v>4302.7</v>
      </c>
      <c r="F119" s="44">
        <v>4454.8999999999996</v>
      </c>
      <c r="G119" s="44">
        <v>5130.7</v>
      </c>
      <c r="H119" s="44">
        <v>6486.5</v>
      </c>
    </row>
    <row r="120" spans="3:8" x14ac:dyDescent="0.2">
      <c r="C120" s="30" t="s">
        <v>108</v>
      </c>
      <c r="D120" s="44">
        <v>1448.5</v>
      </c>
      <c r="E120" s="44">
        <v>1429.6</v>
      </c>
      <c r="F120" s="44">
        <v>1452.5</v>
      </c>
      <c r="G120" s="45">
        <v>1861</v>
      </c>
      <c r="H120" s="44">
        <v>2529.9</v>
      </c>
    </row>
    <row r="121" spans="3:8" x14ac:dyDescent="0.2">
      <c r="C121" s="16" t="s">
        <v>109</v>
      </c>
      <c r="D121" s="46">
        <v>1.3899999999999999E-2</v>
      </c>
      <c r="E121" s="46">
        <v>-1.2999999999999999E-2</v>
      </c>
      <c r="F121" s="46">
        <v>1.6E-2</v>
      </c>
      <c r="G121" s="46">
        <v>0.28120000000000001</v>
      </c>
      <c r="H121" s="46">
        <v>0.3594</v>
      </c>
    </row>
    <row r="125" spans="3:8" x14ac:dyDescent="0.2">
      <c r="C125" s="15" t="s">
        <v>112</v>
      </c>
      <c r="D125" s="15"/>
      <c r="E125" s="15"/>
      <c r="F125" s="15"/>
      <c r="G125" s="15"/>
      <c r="H125" s="15"/>
    </row>
    <row r="127" spans="3:8" x14ac:dyDescent="0.2">
      <c r="C127" s="24" t="s">
        <v>3</v>
      </c>
      <c r="D127" s="41">
        <v>2022</v>
      </c>
      <c r="E127" s="41">
        <v>2023</v>
      </c>
      <c r="F127" s="41">
        <v>2024</v>
      </c>
      <c r="G127" s="41">
        <v>2025</v>
      </c>
      <c r="H127" s="41">
        <v>2026</v>
      </c>
    </row>
    <row r="128" spans="3:8" x14ac:dyDescent="0.2">
      <c r="C128" s="24"/>
      <c r="D128" s="42"/>
      <c r="E128" s="42"/>
      <c r="F128" s="42"/>
      <c r="G128" s="42"/>
      <c r="H128" s="42"/>
    </row>
    <row r="129" spans="1:8" x14ac:dyDescent="0.2">
      <c r="C129" s="30" t="s">
        <v>113</v>
      </c>
      <c r="D129" s="41">
        <v>620.79999999999995</v>
      </c>
      <c r="E129" s="41">
        <v>541.70000000000005</v>
      </c>
      <c r="F129" s="41">
        <v>682.2</v>
      </c>
      <c r="G129" s="41">
        <v>943.4</v>
      </c>
      <c r="H129" s="41">
        <v>583.79999999999995</v>
      </c>
    </row>
    <row r="130" spans="1:8" x14ac:dyDescent="0.2">
      <c r="C130" s="16" t="s">
        <v>114</v>
      </c>
      <c r="D130" s="46">
        <v>0.1961</v>
      </c>
      <c r="E130" s="46">
        <v>-0.12740000000000001</v>
      </c>
      <c r="F130" s="46">
        <v>0.25940000000000002</v>
      </c>
      <c r="G130" s="46">
        <v>0.38290000000000002</v>
      </c>
      <c r="H130" s="46">
        <v>-0.38119999999999998</v>
      </c>
    </row>
    <row r="131" spans="1:8" x14ac:dyDescent="0.2">
      <c r="C131" s="16" t="s">
        <v>29</v>
      </c>
      <c r="D131" s="16">
        <v>249.8</v>
      </c>
      <c r="E131" s="16">
        <v>491.7</v>
      </c>
      <c r="F131" s="16">
        <v>380.8</v>
      </c>
      <c r="G131" s="16">
        <v>292.10000000000002</v>
      </c>
      <c r="H131" s="16">
        <v>375</v>
      </c>
    </row>
    <row r="132" spans="1:8" x14ac:dyDescent="0.2">
      <c r="C132" s="16" t="s">
        <v>115</v>
      </c>
      <c r="D132" s="16">
        <v>260</v>
      </c>
      <c r="E132" s="16">
        <v>269.2</v>
      </c>
      <c r="F132" s="16">
        <v>284.60000000000002</v>
      </c>
      <c r="G132" s="16">
        <v>275.39999999999998</v>
      </c>
      <c r="H132" s="16">
        <v>340.4</v>
      </c>
    </row>
    <row r="133" spans="1:8" x14ac:dyDescent="0.2">
      <c r="C133" s="16" t="s">
        <v>116</v>
      </c>
      <c r="D133" s="16" t="s">
        <v>11</v>
      </c>
      <c r="E133" s="16" t="s">
        <v>11</v>
      </c>
      <c r="F133" s="16" t="s">
        <v>11</v>
      </c>
      <c r="G133" s="16" t="s">
        <v>11</v>
      </c>
      <c r="H133" s="16" t="s">
        <v>11</v>
      </c>
    </row>
    <row r="134" spans="1:8" x14ac:dyDescent="0.2">
      <c r="C134" s="16" t="s">
        <v>117</v>
      </c>
      <c r="D134" s="16">
        <v>156</v>
      </c>
      <c r="E134" s="16">
        <v>21.5</v>
      </c>
      <c r="F134" s="16">
        <v>40.200000000000003</v>
      </c>
      <c r="G134" s="16">
        <v>92.6</v>
      </c>
      <c r="H134" s="16">
        <v>66.8</v>
      </c>
    </row>
    <row r="135" spans="1:8" x14ac:dyDescent="0.2">
      <c r="C135" s="16" t="s">
        <v>118</v>
      </c>
      <c r="D135" s="16">
        <v>-45</v>
      </c>
      <c r="E135" s="16">
        <v>-240.7</v>
      </c>
      <c r="F135" s="16">
        <v>-23.4</v>
      </c>
      <c r="G135" s="16">
        <v>283.3</v>
      </c>
      <c r="H135" s="16">
        <v>-198.4</v>
      </c>
    </row>
    <row r="136" spans="1:8" x14ac:dyDescent="0.2">
      <c r="C136" s="30" t="s">
        <v>119</v>
      </c>
      <c r="D136" s="41">
        <v>-229.1</v>
      </c>
      <c r="E136" s="41">
        <v>-178.3</v>
      </c>
      <c r="F136" s="41">
        <v>-355.8</v>
      </c>
      <c r="G136" s="44">
        <v>-1211.5</v>
      </c>
      <c r="H136" s="41">
        <v>-669</v>
      </c>
    </row>
    <row r="137" spans="1:8" x14ac:dyDescent="0.2">
      <c r="C137" s="16" t="s">
        <v>120</v>
      </c>
      <c r="D137" s="46">
        <v>0.183</v>
      </c>
      <c r="E137" s="46">
        <v>0.22170000000000001</v>
      </c>
      <c r="F137" s="46">
        <v>-0.99550000000000005</v>
      </c>
      <c r="G137" s="46">
        <v>-2.4049999999999998</v>
      </c>
      <c r="H137" s="46">
        <v>0.44779999999999998</v>
      </c>
    </row>
    <row r="138" spans="1:8" x14ac:dyDescent="0.2">
      <c r="A138" s="48"/>
      <c r="C138" s="16" t="s">
        <v>121</v>
      </c>
      <c r="D138" s="16">
        <v>-323.2</v>
      </c>
      <c r="E138" s="16">
        <v>-469.4</v>
      </c>
      <c r="F138" s="16">
        <v>-267.2</v>
      </c>
      <c r="G138" s="16">
        <v>-411.7</v>
      </c>
      <c r="H138" s="16">
        <v>-654.79999999999995</v>
      </c>
    </row>
    <row r="139" spans="1:8" x14ac:dyDescent="0.2">
      <c r="C139" s="16" t="s">
        <v>122</v>
      </c>
      <c r="D139" s="16">
        <v>5.9</v>
      </c>
      <c r="E139" s="16">
        <v>14.8</v>
      </c>
      <c r="F139" s="16">
        <v>55.9</v>
      </c>
      <c r="G139" s="16">
        <v>25.3</v>
      </c>
      <c r="H139" s="16">
        <v>3.8</v>
      </c>
    </row>
    <row r="140" spans="1:8" x14ac:dyDescent="0.2">
      <c r="C140" s="16" t="s">
        <v>123</v>
      </c>
      <c r="D140" s="16">
        <v>-0.2</v>
      </c>
      <c r="E140" s="16">
        <v>-28</v>
      </c>
      <c r="F140" s="16">
        <v>-60.9</v>
      </c>
      <c r="G140" s="16">
        <v>-47.4</v>
      </c>
      <c r="H140" s="16">
        <v>-121.2</v>
      </c>
    </row>
    <row r="141" spans="1:8" x14ac:dyDescent="0.2">
      <c r="C141" s="16" t="s">
        <v>124</v>
      </c>
      <c r="D141" s="16" t="s">
        <v>11</v>
      </c>
      <c r="E141" s="16" t="s">
        <v>11</v>
      </c>
      <c r="F141" s="16" t="s">
        <v>11</v>
      </c>
      <c r="G141" s="16" t="s">
        <v>11</v>
      </c>
      <c r="H141" s="16" t="s">
        <v>11</v>
      </c>
    </row>
    <row r="142" spans="1:8" x14ac:dyDescent="0.2">
      <c r="C142" s="16" t="s">
        <v>125</v>
      </c>
      <c r="D142" s="16">
        <v>88.4</v>
      </c>
      <c r="E142" s="16">
        <v>304.3</v>
      </c>
      <c r="F142" s="16">
        <v>-83.6</v>
      </c>
      <c r="G142" s="16">
        <v>-777.7</v>
      </c>
      <c r="H142" s="16">
        <v>103.2</v>
      </c>
    </row>
    <row r="143" spans="1:8" x14ac:dyDescent="0.2">
      <c r="C143" s="30" t="s">
        <v>126</v>
      </c>
      <c r="D143" s="41">
        <v>-512</v>
      </c>
      <c r="E143" s="41">
        <v>-370.9</v>
      </c>
      <c r="F143" s="41">
        <v>-297.60000000000002</v>
      </c>
      <c r="G143" s="41">
        <v>161.9</v>
      </c>
      <c r="H143" s="41">
        <v>216.3</v>
      </c>
    </row>
    <row r="144" spans="1:8" x14ac:dyDescent="0.2">
      <c r="A144" s="48"/>
      <c r="C144" s="16" t="s">
        <v>127</v>
      </c>
      <c r="D144" s="47">
        <v>-0.65</v>
      </c>
      <c r="E144" s="46">
        <v>0.27560000000000001</v>
      </c>
      <c r="F144" s="46">
        <v>0.1976</v>
      </c>
      <c r="G144" s="46">
        <v>1.544</v>
      </c>
      <c r="H144" s="46">
        <v>0.33600000000000002</v>
      </c>
    </row>
    <row r="145" spans="1:8" x14ac:dyDescent="0.2">
      <c r="C145" s="16" t="s">
        <v>128</v>
      </c>
      <c r="D145" s="29">
        <v>1375.9</v>
      </c>
      <c r="E145" s="16">
        <v>671.3</v>
      </c>
      <c r="F145" s="16">
        <v>482.1</v>
      </c>
      <c r="G145" s="29">
        <v>1479.5</v>
      </c>
      <c r="H145" s="29">
        <v>2400.1</v>
      </c>
    </row>
    <row r="146" spans="1:8" x14ac:dyDescent="0.2">
      <c r="C146" s="16" t="s">
        <v>129</v>
      </c>
      <c r="D146" s="16" t="s">
        <v>11</v>
      </c>
      <c r="E146" s="16" t="s">
        <v>11</v>
      </c>
      <c r="F146" s="16" t="s">
        <v>11</v>
      </c>
      <c r="G146" s="16" t="s">
        <v>11</v>
      </c>
      <c r="H146" s="16" t="s">
        <v>11</v>
      </c>
    </row>
    <row r="147" spans="1:8" x14ac:dyDescent="0.2">
      <c r="C147" s="16" t="s">
        <v>130</v>
      </c>
      <c r="D147" s="29">
        <v>1375.9</v>
      </c>
      <c r="E147" s="16">
        <v>671.3</v>
      </c>
      <c r="F147" s="16">
        <v>482.1</v>
      </c>
      <c r="G147" s="29">
        <v>1479.5</v>
      </c>
      <c r="H147" s="29">
        <v>2400.1</v>
      </c>
    </row>
    <row r="148" spans="1:8" x14ac:dyDescent="0.2">
      <c r="C148" s="16" t="s">
        <v>131</v>
      </c>
      <c r="D148" s="29">
        <v>-1660.6</v>
      </c>
      <c r="E148" s="16">
        <v>-835.7</v>
      </c>
      <c r="F148" s="16">
        <v>-588.4</v>
      </c>
      <c r="G148" s="29">
        <v>-1234.5</v>
      </c>
      <c r="H148" s="29">
        <v>-2218.9</v>
      </c>
    </row>
    <row r="149" spans="1:8" x14ac:dyDescent="0.2">
      <c r="C149" s="16" t="s">
        <v>132</v>
      </c>
      <c r="D149" s="16" t="s">
        <v>11</v>
      </c>
      <c r="E149" s="16" t="s">
        <v>11</v>
      </c>
      <c r="F149" s="16" t="s">
        <v>11</v>
      </c>
      <c r="G149" s="16" t="s">
        <v>11</v>
      </c>
      <c r="H149" s="16" t="s">
        <v>11</v>
      </c>
    </row>
    <row r="150" spans="1:8" x14ac:dyDescent="0.2">
      <c r="A150" s="48"/>
      <c r="C150" s="16" t="s">
        <v>133</v>
      </c>
      <c r="D150" s="29">
        <v>-1660.6</v>
      </c>
      <c r="E150" s="16">
        <v>-835.7</v>
      </c>
      <c r="F150" s="16">
        <v>-588.4</v>
      </c>
      <c r="G150" s="29">
        <v>-1234.5</v>
      </c>
      <c r="H150" s="29">
        <v>-2218.9</v>
      </c>
    </row>
    <row r="151" spans="1:8" x14ac:dyDescent="0.2">
      <c r="C151" s="16" t="s">
        <v>134</v>
      </c>
      <c r="D151" s="16" t="s">
        <v>11</v>
      </c>
      <c r="E151" s="16" t="s">
        <v>11</v>
      </c>
      <c r="F151" s="16" t="s">
        <v>11</v>
      </c>
      <c r="G151" s="16" t="s">
        <v>11</v>
      </c>
      <c r="H151" s="16" t="s">
        <v>11</v>
      </c>
    </row>
    <row r="152" spans="1:8" x14ac:dyDescent="0.2">
      <c r="C152" s="16" t="s">
        <v>135</v>
      </c>
      <c r="D152" s="16">
        <v>-193.2</v>
      </c>
      <c r="E152" s="16">
        <v>-155.30000000000001</v>
      </c>
      <c r="F152" s="16">
        <v>-126.4</v>
      </c>
      <c r="G152" s="16" t="s">
        <v>11</v>
      </c>
      <c r="H152" s="16">
        <v>-18.100000000000001</v>
      </c>
    </row>
    <row r="153" spans="1:8" x14ac:dyDescent="0.2">
      <c r="C153" s="16" t="s">
        <v>136</v>
      </c>
      <c r="D153" s="16" t="s">
        <v>11</v>
      </c>
      <c r="E153" s="16" t="s">
        <v>11</v>
      </c>
      <c r="F153" s="16" t="s">
        <v>11</v>
      </c>
      <c r="G153" s="16" t="s">
        <v>11</v>
      </c>
      <c r="H153" s="16" t="s">
        <v>11</v>
      </c>
    </row>
    <row r="154" spans="1:8" x14ac:dyDescent="0.2">
      <c r="C154" s="16" t="s">
        <v>137</v>
      </c>
      <c r="D154" s="16" t="s">
        <v>11</v>
      </c>
      <c r="E154" s="16" t="s">
        <v>11</v>
      </c>
      <c r="F154" s="16" t="s">
        <v>11</v>
      </c>
      <c r="G154" s="16" t="s">
        <v>11</v>
      </c>
      <c r="H154" s="16" t="s">
        <v>11</v>
      </c>
    </row>
    <row r="155" spans="1:8" x14ac:dyDescent="0.2">
      <c r="C155" s="16" t="s">
        <v>138</v>
      </c>
      <c r="D155" s="16" t="s">
        <v>11</v>
      </c>
      <c r="E155" s="16" t="s">
        <v>11</v>
      </c>
      <c r="F155" s="16" t="s">
        <v>11</v>
      </c>
      <c r="G155" s="16" t="s">
        <v>11</v>
      </c>
      <c r="H155" s="16" t="s">
        <v>11</v>
      </c>
    </row>
    <row r="156" spans="1:8" x14ac:dyDescent="0.2">
      <c r="A156" s="48"/>
      <c r="C156" s="16" t="s">
        <v>139</v>
      </c>
      <c r="D156" s="16" t="s">
        <v>11</v>
      </c>
      <c r="E156" s="16" t="s">
        <v>11</v>
      </c>
      <c r="F156" s="16" t="s">
        <v>11</v>
      </c>
      <c r="G156" s="16" t="s">
        <v>11</v>
      </c>
      <c r="H156" s="16" t="s">
        <v>11</v>
      </c>
    </row>
    <row r="157" spans="1:8" x14ac:dyDescent="0.2">
      <c r="C157" s="16" t="s">
        <v>140</v>
      </c>
      <c r="D157" s="16">
        <v>-34.1</v>
      </c>
      <c r="E157" s="16">
        <v>-51.2</v>
      </c>
      <c r="F157" s="16">
        <v>-64.900000000000006</v>
      </c>
      <c r="G157" s="16">
        <v>-83.1</v>
      </c>
      <c r="H157" s="16">
        <v>53.2</v>
      </c>
    </row>
    <row r="158" spans="1:8" x14ac:dyDescent="0.2">
      <c r="C158" s="16" t="s">
        <v>141</v>
      </c>
      <c r="D158" s="16">
        <v>0.1</v>
      </c>
      <c r="E158" s="16">
        <v>3.6</v>
      </c>
      <c r="F158" s="16">
        <v>-3.1</v>
      </c>
      <c r="G158" s="16">
        <v>-0.2</v>
      </c>
      <c r="H158" s="16">
        <v>5.6</v>
      </c>
    </row>
    <row r="159" spans="1:8" x14ac:dyDescent="0.2">
      <c r="C159" s="16" t="s">
        <v>142</v>
      </c>
      <c r="D159" s="16" t="s">
        <v>11</v>
      </c>
      <c r="E159" s="16" t="s">
        <v>11</v>
      </c>
      <c r="F159" s="16" t="s">
        <v>11</v>
      </c>
      <c r="G159" s="16" t="s">
        <v>11</v>
      </c>
      <c r="H159" s="16" t="s">
        <v>11</v>
      </c>
    </row>
    <row r="160" spans="1:8" x14ac:dyDescent="0.2">
      <c r="C160" s="30" t="s">
        <v>143</v>
      </c>
      <c r="D160" s="41">
        <v>-120.2</v>
      </c>
      <c r="E160" s="41">
        <v>-3.9</v>
      </c>
      <c r="F160" s="41">
        <v>25.7</v>
      </c>
      <c r="G160" s="41">
        <v>-106.4</v>
      </c>
      <c r="H160" s="41">
        <v>136.69999999999999</v>
      </c>
    </row>
    <row r="161" spans="1:9" x14ac:dyDescent="0.2">
      <c r="C161" s="16" t="s">
        <v>144</v>
      </c>
      <c r="D161" s="16">
        <v>457</v>
      </c>
      <c r="E161" s="16">
        <v>336.8</v>
      </c>
      <c r="F161" s="16">
        <v>332.9</v>
      </c>
      <c r="G161" s="16">
        <v>358.6</v>
      </c>
      <c r="H161" s="16">
        <v>252.2</v>
      </c>
    </row>
    <row r="162" spans="1:9" x14ac:dyDescent="0.2">
      <c r="C162" s="16" t="s">
        <v>46</v>
      </c>
      <c r="D162" s="16">
        <v>336.8</v>
      </c>
      <c r="E162" s="16">
        <v>332.9</v>
      </c>
      <c r="F162" s="16">
        <v>358.6</v>
      </c>
      <c r="G162" s="16">
        <v>252.2</v>
      </c>
      <c r="H162" s="16">
        <v>388.9</v>
      </c>
    </row>
    <row r="163" spans="1:9" x14ac:dyDescent="0.2">
      <c r="C163" s="16" t="s">
        <v>145</v>
      </c>
      <c r="D163" s="16">
        <v>-151.4</v>
      </c>
      <c r="E163" s="16">
        <v>88.39</v>
      </c>
      <c r="F163" s="16">
        <v>408.93</v>
      </c>
      <c r="G163" s="16">
        <v>330.86</v>
      </c>
      <c r="H163" s="16">
        <v>57.15</v>
      </c>
    </row>
    <row r="164" spans="1:9" x14ac:dyDescent="0.2">
      <c r="C164" s="16" t="s">
        <v>146</v>
      </c>
      <c r="D164" s="46">
        <v>-1.5438000000000001</v>
      </c>
      <c r="E164" s="46">
        <v>1.5838000000000001</v>
      </c>
      <c r="F164" s="46">
        <v>3.6265000000000001</v>
      </c>
      <c r="G164" s="46">
        <v>-0.19089999999999999</v>
      </c>
      <c r="H164" s="46">
        <v>-0.82730000000000004</v>
      </c>
    </row>
    <row r="165" spans="1:9" x14ac:dyDescent="0.2">
      <c r="C165" s="16" t="s">
        <v>147</v>
      </c>
      <c r="D165" s="48">
        <v>9.1399999999999995E-2</v>
      </c>
      <c r="E165" s="48">
        <v>2.0500000000000001E-2</v>
      </c>
      <c r="F165" s="48">
        <v>0.11890000000000001</v>
      </c>
      <c r="G165" s="48">
        <v>0.1875</v>
      </c>
      <c r="H165" s="48">
        <v>-2.4899999999999999E-2</v>
      </c>
    </row>
    <row r="167" spans="1:9" x14ac:dyDescent="0.2">
      <c r="A167" s="16" t="s">
        <v>159</v>
      </c>
    </row>
    <row r="168" spans="1:9" x14ac:dyDescent="0.2">
      <c r="C168" s="15" t="s">
        <v>158</v>
      </c>
      <c r="D168" s="15"/>
      <c r="E168" s="15"/>
      <c r="F168" s="15"/>
      <c r="G168" s="15"/>
      <c r="H168" s="15"/>
    </row>
    <row r="169" spans="1:9" x14ac:dyDescent="0.2">
      <c r="A169" s="16" t="s">
        <v>177</v>
      </c>
      <c r="C169" s="31"/>
    </row>
    <row r="170" spans="1:9" x14ac:dyDescent="0.2">
      <c r="C170" s="31" t="s">
        <v>160</v>
      </c>
      <c r="D170" s="16" t="s">
        <v>176</v>
      </c>
      <c r="E170" s="16" t="s">
        <v>162</v>
      </c>
      <c r="F170" s="16" t="s">
        <v>163</v>
      </c>
    </row>
    <row r="171" spans="1:9" x14ac:dyDescent="0.2">
      <c r="C171" s="16" t="s">
        <v>164</v>
      </c>
      <c r="D171" s="29">
        <v>2908.9</v>
      </c>
      <c r="E171" s="29">
        <v>2698.1</v>
      </c>
      <c r="F171" s="29">
        <v>2570.1999999999998</v>
      </c>
      <c r="H171" s="29"/>
      <c r="I171" s="29"/>
    </row>
    <row r="172" spans="1:9" x14ac:dyDescent="0.2">
      <c r="C172" s="16" t="s">
        <v>165</v>
      </c>
      <c r="D172" s="29">
        <v>-1558.5</v>
      </c>
      <c r="E172" s="29">
        <v>-1398.5</v>
      </c>
      <c r="F172" s="29">
        <v>-1256</v>
      </c>
      <c r="I172" s="29"/>
    </row>
    <row r="173" spans="1:9" x14ac:dyDescent="0.2">
      <c r="A173" s="48"/>
      <c r="C173" s="16" t="s">
        <v>0</v>
      </c>
      <c r="D173" s="29">
        <v>1350.4</v>
      </c>
      <c r="E173" s="29">
        <v>1299.5999999999999</v>
      </c>
      <c r="F173" s="29">
        <v>1314.2</v>
      </c>
      <c r="I173" s="29"/>
    </row>
    <row r="174" spans="1:9" x14ac:dyDescent="0.2">
      <c r="C174" s="16" t="s">
        <v>166</v>
      </c>
      <c r="D174" s="48">
        <v>0.46400000000000002</v>
      </c>
      <c r="E174" s="48">
        <v>0.48199999999999998</v>
      </c>
      <c r="F174" s="48">
        <v>0.51100000000000001</v>
      </c>
      <c r="I174" s="48"/>
    </row>
    <row r="175" spans="1:9" x14ac:dyDescent="0.2">
      <c r="C175" s="16" t="s">
        <v>167</v>
      </c>
      <c r="D175" s="16">
        <v>468.4</v>
      </c>
      <c r="E175" s="16">
        <v>475.8</v>
      </c>
      <c r="F175" s="16">
        <v>559.4</v>
      </c>
    </row>
    <row r="176" spans="1:9" x14ac:dyDescent="0.2">
      <c r="C176" s="16" t="s">
        <v>168</v>
      </c>
      <c r="D176" s="16">
        <v>353.1</v>
      </c>
      <c r="E176" s="16">
        <v>365.5</v>
      </c>
      <c r="F176" s="16">
        <v>387.1</v>
      </c>
    </row>
    <row r="177" spans="1:9" x14ac:dyDescent="0.2">
      <c r="A177" s="48"/>
      <c r="C177" s="51" t="s">
        <v>169</v>
      </c>
      <c r="D177" s="16">
        <v>797</v>
      </c>
      <c r="E177" s="16">
        <v>785</v>
      </c>
      <c r="F177" s="16">
        <v>794</v>
      </c>
    </row>
    <row r="179" spans="1:9" x14ac:dyDescent="0.2">
      <c r="C179" s="52" t="s">
        <v>170</v>
      </c>
      <c r="D179" s="16" t="s">
        <v>176</v>
      </c>
      <c r="E179" s="16" t="s">
        <v>162</v>
      </c>
      <c r="F179" s="16" t="s">
        <v>163</v>
      </c>
    </row>
    <row r="180" spans="1:9" x14ac:dyDescent="0.2">
      <c r="C180" s="16" t="s">
        <v>164</v>
      </c>
      <c r="D180" s="29">
        <v>1229.8</v>
      </c>
      <c r="E180" s="29">
        <v>1048.2</v>
      </c>
      <c r="F180" s="16">
        <v>975.7</v>
      </c>
      <c r="H180" s="29"/>
      <c r="I180" s="29"/>
    </row>
    <row r="181" spans="1:9" x14ac:dyDescent="0.2">
      <c r="C181" s="16" t="s">
        <v>165</v>
      </c>
      <c r="D181" s="16">
        <v>-773.2</v>
      </c>
      <c r="E181" s="16">
        <v>-635.4</v>
      </c>
      <c r="F181" s="16">
        <v>-563</v>
      </c>
    </row>
    <row r="182" spans="1:9" x14ac:dyDescent="0.2">
      <c r="C182" s="16" t="s">
        <v>0</v>
      </c>
      <c r="D182" s="16">
        <v>456.6</v>
      </c>
      <c r="E182" s="16">
        <v>412.8</v>
      </c>
      <c r="F182" s="16">
        <v>412.7</v>
      </c>
    </row>
    <row r="183" spans="1:9" x14ac:dyDescent="0.2">
      <c r="C183" s="16" t="s">
        <v>166</v>
      </c>
      <c r="D183" s="48">
        <v>0.371</v>
      </c>
      <c r="E183" s="48">
        <v>0.39400000000000002</v>
      </c>
      <c r="F183" s="48">
        <v>0.42299999999999999</v>
      </c>
      <c r="I183" s="48"/>
    </row>
    <row r="184" spans="1:9" x14ac:dyDescent="0.2">
      <c r="A184" s="48"/>
      <c r="C184" s="16" t="s">
        <v>167</v>
      </c>
      <c r="D184" s="16">
        <v>137.19999999999999</v>
      </c>
      <c r="E184" s="16">
        <v>157.4</v>
      </c>
      <c r="F184" s="16">
        <v>147.6</v>
      </c>
    </row>
    <row r="185" spans="1:9" x14ac:dyDescent="0.2">
      <c r="C185" s="16" t="s">
        <v>168</v>
      </c>
      <c r="D185" s="16">
        <v>98.6</v>
      </c>
      <c r="E185" s="16">
        <v>131.9</v>
      </c>
      <c r="F185" s="16">
        <v>102.1</v>
      </c>
    </row>
    <row r="186" spans="1:9" x14ac:dyDescent="0.2">
      <c r="C186" s="16" t="s">
        <v>169</v>
      </c>
      <c r="D186" s="16">
        <v>181</v>
      </c>
      <c r="E186" s="16">
        <v>156</v>
      </c>
      <c r="F186" s="16">
        <v>133</v>
      </c>
    </row>
    <row r="188" spans="1:9" x14ac:dyDescent="0.2">
      <c r="A188" s="48"/>
      <c r="C188" s="31" t="s">
        <v>171</v>
      </c>
      <c r="D188" s="16" t="s">
        <v>176</v>
      </c>
      <c r="E188" s="16" t="s">
        <v>162</v>
      </c>
      <c r="F188" s="16" t="s">
        <v>163</v>
      </c>
    </row>
    <row r="189" spans="1:9" x14ac:dyDescent="0.2">
      <c r="C189" s="16" t="s">
        <v>164</v>
      </c>
      <c r="D189" s="16">
        <v>994.6</v>
      </c>
      <c r="E189" s="29">
        <v>1007.4</v>
      </c>
      <c r="F189" s="29">
        <v>1603.6</v>
      </c>
    </row>
    <row r="190" spans="1:9" x14ac:dyDescent="0.2">
      <c r="C190" s="16" t="s">
        <v>165</v>
      </c>
      <c r="D190" s="16">
        <v>-547.70000000000005</v>
      </c>
      <c r="E190" s="16">
        <v>-553.6</v>
      </c>
      <c r="F190" s="16">
        <v>-902.9</v>
      </c>
    </row>
    <row r="191" spans="1:9" x14ac:dyDescent="0.2">
      <c r="C191" s="16" t="s">
        <v>0</v>
      </c>
      <c r="D191" s="16">
        <v>446.9</v>
      </c>
      <c r="E191" s="16">
        <v>453.8</v>
      </c>
      <c r="F191" s="16">
        <v>700.7</v>
      </c>
      <c r="I191" s="48"/>
    </row>
    <row r="192" spans="1:9" x14ac:dyDescent="0.2">
      <c r="C192" s="16" t="s">
        <v>166</v>
      </c>
      <c r="D192" s="48">
        <v>0.44900000000000001</v>
      </c>
      <c r="E192" s="48">
        <v>0.45</v>
      </c>
      <c r="F192" s="48">
        <v>0.437</v>
      </c>
    </row>
    <row r="193" spans="3:9" x14ac:dyDescent="0.2">
      <c r="C193" s="16" t="s">
        <v>167</v>
      </c>
      <c r="D193" s="16">
        <v>127.2</v>
      </c>
      <c r="E193" s="16">
        <v>114.1</v>
      </c>
      <c r="F193" s="16">
        <v>205.5</v>
      </c>
    </row>
    <row r="194" spans="3:9" x14ac:dyDescent="0.2">
      <c r="C194" s="16" t="s">
        <v>172</v>
      </c>
      <c r="D194" s="16">
        <v>38.1</v>
      </c>
      <c r="E194" s="16">
        <v>38.1</v>
      </c>
      <c r="F194" s="16">
        <v>-152.19999999999999</v>
      </c>
    </row>
    <row r="195" spans="3:9" x14ac:dyDescent="0.2">
      <c r="C195" s="16" t="s">
        <v>169</v>
      </c>
      <c r="D195" s="16">
        <v>350</v>
      </c>
      <c r="E195" s="16">
        <v>373</v>
      </c>
      <c r="F195" s="16">
        <v>565</v>
      </c>
    </row>
    <row r="197" spans="3:9" x14ac:dyDescent="0.2">
      <c r="C197" s="31" t="s">
        <v>173</v>
      </c>
      <c r="D197" s="16" t="s">
        <v>176</v>
      </c>
      <c r="E197" s="16" t="s">
        <v>162</v>
      </c>
      <c r="F197" s="16" t="s">
        <v>163</v>
      </c>
    </row>
    <row r="198" spans="3:9" x14ac:dyDescent="0.2">
      <c r="C198" s="16" t="s">
        <v>164</v>
      </c>
      <c r="D198" s="16">
        <v>72.7</v>
      </c>
      <c r="E198" s="16">
        <v>61.9</v>
      </c>
      <c r="F198" s="16">
        <v>96</v>
      </c>
    </row>
    <row r="199" spans="3:9" x14ac:dyDescent="0.2">
      <c r="C199" s="16" t="s">
        <v>0</v>
      </c>
      <c r="D199" s="16">
        <v>64.900000000000006</v>
      </c>
      <c r="E199" s="16">
        <v>61.9</v>
      </c>
      <c r="F199" s="16">
        <v>96</v>
      </c>
      <c r="I199" s="48"/>
    </row>
    <row r="200" spans="3:9" x14ac:dyDescent="0.2">
      <c r="C200" s="16" t="s">
        <v>166</v>
      </c>
      <c r="D200" s="48">
        <v>0.89300000000000002</v>
      </c>
      <c r="E200" s="48">
        <v>1</v>
      </c>
      <c r="F200" s="48">
        <v>1</v>
      </c>
    </row>
    <row r="201" spans="3:9" x14ac:dyDescent="0.2">
      <c r="C201" s="16" t="s">
        <v>167</v>
      </c>
      <c r="D201" s="16">
        <v>39.1</v>
      </c>
      <c r="E201" s="16">
        <v>43.1</v>
      </c>
      <c r="F201" s="16">
        <v>85.7</v>
      </c>
    </row>
    <row r="202" spans="3:9" x14ac:dyDescent="0.2">
      <c r="C202" s="16" t="s">
        <v>168</v>
      </c>
      <c r="D202" s="16">
        <v>-31.3</v>
      </c>
      <c r="E202" s="16">
        <v>5</v>
      </c>
      <c r="F202" s="16">
        <v>41.5</v>
      </c>
    </row>
    <row r="204" spans="3:9" x14ac:dyDescent="0.2">
      <c r="C204" s="31" t="s">
        <v>174</v>
      </c>
      <c r="D204" s="16" t="s">
        <v>176</v>
      </c>
      <c r="E204" s="16" t="s">
        <v>162</v>
      </c>
      <c r="F204" s="16" t="s">
        <v>163</v>
      </c>
    </row>
    <row r="205" spans="3:9" x14ac:dyDescent="0.2">
      <c r="C205" s="16" t="s">
        <v>164</v>
      </c>
      <c r="D205" s="16">
        <v>111</v>
      </c>
      <c r="E205" s="16">
        <v>85.3</v>
      </c>
      <c r="F205" s="16">
        <v>80.400000000000006</v>
      </c>
    </row>
    <row r="206" spans="3:9" x14ac:dyDescent="0.2">
      <c r="C206" s="16" t="s">
        <v>175</v>
      </c>
      <c r="D206" s="16">
        <v>-20.6</v>
      </c>
      <c r="E206" s="16">
        <v>-22.1</v>
      </c>
      <c r="F206" s="16">
        <v>-28</v>
      </c>
    </row>
    <row r="207" spans="3:9" x14ac:dyDescent="0.2">
      <c r="C207" s="16" t="s">
        <v>0</v>
      </c>
      <c r="D207" s="16">
        <v>90.4</v>
      </c>
      <c r="E207" s="16">
        <v>63.2</v>
      </c>
      <c r="F207" s="16">
        <v>52.4</v>
      </c>
      <c r="I207" s="48"/>
    </row>
    <row r="208" spans="3:9" x14ac:dyDescent="0.2">
      <c r="C208" s="16" t="s">
        <v>166</v>
      </c>
      <c r="D208" s="48">
        <v>0.81399999999999995</v>
      </c>
      <c r="E208" s="48">
        <v>0.74099999999999999</v>
      </c>
      <c r="F208" s="48">
        <v>0.65200000000000002</v>
      </c>
    </row>
    <row r="209" spans="3:9" x14ac:dyDescent="0.2">
      <c r="C209" s="16" t="s">
        <v>167</v>
      </c>
      <c r="D209" s="16">
        <v>57.6</v>
      </c>
      <c r="E209" s="16">
        <v>17.5</v>
      </c>
      <c r="F209" s="16">
        <v>7.7</v>
      </c>
    </row>
    <row r="210" spans="3:9" x14ac:dyDescent="0.2">
      <c r="C210" s="16" t="s">
        <v>168</v>
      </c>
      <c r="D210" s="16">
        <v>56.1</v>
      </c>
      <c r="E210" s="16">
        <v>17</v>
      </c>
      <c r="F210" s="16">
        <v>7.8</v>
      </c>
    </row>
    <row r="212" spans="3:9" x14ac:dyDescent="0.2">
      <c r="C212" s="15" t="s">
        <v>197</v>
      </c>
      <c r="D212" s="15">
        <v>2025</v>
      </c>
      <c r="E212" s="15">
        <v>2026</v>
      </c>
    </row>
    <row r="213" spans="3:9" x14ac:dyDescent="0.2">
      <c r="C213" s="16" t="s">
        <v>199</v>
      </c>
      <c r="D213" s="16">
        <v>252.2</v>
      </c>
      <c r="E213" s="16">
        <v>388.9</v>
      </c>
    </row>
    <row r="214" spans="3:9" x14ac:dyDescent="0.2">
      <c r="C214" s="16" t="s">
        <v>200</v>
      </c>
      <c r="D214" s="29">
        <v>1193.2</v>
      </c>
      <c r="E214" s="29">
        <v>1651.3</v>
      </c>
    </row>
    <row r="215" spans="3:9" x14ac:dyDescent="0.2">
      <c r="C215" s="16" t="s">
        <v>201</v>
      </c>
      <c r="D215" s="16">
        <v>93.5</v>
      </c>
      <c r="E215" s="16">
        <v>94.3</v>
      </c>
    </row>
    <row r="216" spans="3:9" x14ac:dyDescent="0.2">
      <c r="C216" s="16" t="s">
        <v>202</v>
      </c>
      <c r="D216" s="16">
        <v>667.8</v>
      </c>
      <c r="E216" s="16">
        <v>878.6</v>
      </c>
    </row>
    <row r="217" spans="3:9" x14ac:dyDescent="0.2">
      <c r="C217" s="16" t="s">
        <v>203</v>
      </c>
      <c r="D217" s="29">
        <v>1861</v>
      </c>
      <c r="E217" s="29">
        <v>2529.9</v>
      </c>
    </row>
    <row r="218" spans="3:9" x14ac:dyDescent="0.2">
      <c r="C218" s="16" t="s">
        <v>204</v>
      </c>
      <c r="D218" s="16">
        <v>941</v>
      </c>
      <c r="E218" s="29">
        <v>1262.4000000000001</v>
      </c>
    </row>
    <row r="219" spans="3:9" x14ac:dyDescent="0.2">
      <c r="C219" s="16" t="s">
        <v>205</v>
      </c>
      <c r="D219" s="16">
        <v>847.5</v>
      </c>
      <c r="E219" s="29">
        <v>1168.0999999999999</v>
      </c>
    </row>
    <row r="220" spans="3:9" x14ac:dyDescent="0.2">
      <c r="C220" s="16" t="s">
        <v>206</v>
      </c>
      <c r="D220" s="29">
        <v>1988.1</v>
      </c>
      <c r="E220" s="29">
        <v>2452.6999999999998</v>
      </c>
    </row>
    <row r="222" spans="3:9" x14ac:dyDescent="0.2">
      <c r="C222" s="15" t="s">
        <v>197</v>
      </c>
    </row>
    <row r="223" spans="3:9" x14ac:dyDescent="0.2">
      <c r="C223" s="16" t="s">
        <v>207</v>
      </c>
      <c r="D223" s="16" t="s">
        <v>222</v>
      </c>
      <c r="E223" s="16" t="s">
        <v>223</v>
      </c>
      <c r="F223" s="16" t="s">
        <v>224</v>
      </c>
      <c r="G223" s="16" t="s">
        <v>225</v>
      </c>
      <c r="H223" s="16" t="s">
        <v>208</v>
      </c>
      <c r="I223" s="16" t="s">
        <v>209</v>
      </c>
    </row>
    <row r="224" spans="3:9" x14ac:dyDescent="0.2">
      <c r="C224" s="16" t="s">
        <v>210</v>
      </c>
      <c r="D224" s="16" t="s">
        <v>226</v>
      </c>
      <c r="E224" s="29">
        <v>3300</v>
      </c>
      <c r="F224" s="29">
        <v>1557</v>
      </c>
      <c r="G224" s="66">
        <v>47300</v>
      </c>
      <c r="H224" s="16" t="s">
        <v>211</v>
      </c>
      <c r="I224" s="16" t="s">
        <v>227</v>
      </c>
    </row>
    <row r="225" spans="1:9" x14ac:dyDescent="0.2">
      <c r="C225" s="16" t="s">
        <v>228</v>
      </c>
      <c r="D225" s="16" t="s">
        <v>229</v>
      </c>
      <c r="E225" s="16">
        <v>130</v>
      </c>
      <c r="F225" s="16">
        <v>94.3</v>
      </c>
      <c r="G225" s="16" t="s">
        <v>230</v>
      </c>
      <c r="H225" s="16" t="s">
        <v>212</v>
      </c>
      <c r="I225" s="16" t="s">
        <v>231</v>
      </c>
    </row>
    <row r="227" spans="1:9" x14ac:dyDescent="0.2">
      <c r="C227" s="15" t="s">
        <v>213</v>
      </c>
    </row>
    <row r="228" spans="1:9" x14ac:dyDescent="0.2">
      <c r="C228" s="16" t="s">
        <v>214</v>
      </c>
      <c r="D228" s="16" t="s">
        <v>215</v>
      </c>
      <c r="E228" s="16" t="s">
        <v>216</v>
      </c>
      <c r="F228" s="16" t="s">
        <v>217</v>
      </c>
      <c r="G228" s="16" t="s">
        <v>218</v>
      </c>
      <c r="H228" s="16" t="s">
        <v>193</v>
      </c>
    </row>
    <row r="229" spans="1:9" x14ac:dyDescent="0.2">
      <c r="C229" s="16" t="s">
        <v>219</v>
      </c>
      <c r="D229" s="65" t="s">
        <v>11</v>
      </c>
      <c r="E229" s="65" t="s">
        <v>11</v>
      </c>
      <c r="F229" s="29">
        <v>1651.3</v>
      </c>
      <c r="G229" s="65" t="s">
        <v>11</v>
      </c>
      <c r="H229" s="29">
        <v>1651.3</v>
      </c>
    </row>
    <row r="230" spans="1:9" x14ac:dyDescent="0.2">
      <c r="C230" s="16" t="s">
        <v>220</v>
      </c>
      <c r="D230" s="16">
        <v>94</v>
      </c>
      <c r="E230" s="16">
        <v>99.3</v>
      </c>
      <c r="F230" s="16">
        <v>105</v>
      </c>
      <c r="G230" s="65" t="s">
        <v>11</v>
      </c>
      <c r="H230" s="16">
        <v>298.3</v>
      </c>
    </row>
    <row r="231" spans="1:9" x14ac:dyDescent="0.2">
      <c r="C231" s="16" t="s">
        <v>221</v>
      </c>
      <c r="D231" s="16">
        <v>195.7</v>
      </c>
      <c r="E231" s="16">
        <v>177.3</v>
      </c>
      <c r="F231" s="16">
        <v>330.4</v>
      </c>
      <c r="G231" s="16">
        <v>646.70000000000005</v>
      </c>
      <c r="H231" s="29">
        <v>1350.1</v>
      </c>
    </row>
    <row r="232" spans="1:9" x14ac:dyDescent="0.2">
      <c r="C232" s="16" t="s">
        <v>232</v>
      </c>
      <c r="D232" s="16">
        <v>289.7</v>
      </c>
      <c r="E232" s="16">
        <v>276.60000000000002</v>
      </c>
      <c r="F232" s="29">
        <v>2086.6999999999998</v>
      </c>
      <c r="G232" s="16">
        <v>646.70000000000005</v>
      </c>
      <c r="H232" s="29">
        <v>3299.7</v>
      </c>
    </row>
    <row r="235" spans="1:9" x14ac:dyDescent="0.2">
      <c r="C235" s="15" t="s">
        <v>268</v>
      </c>
    </row>
    <row r="236" spans="1:9" ht="16" x14ac:dyDescent="0.2">
      <c r="A236" s="7" t="s">
        <v>271</v>
      </c>
      <c r="C236" s="16">
        <v>2026</v>
      </c>
      <c r="D236" s="16" t="s">
        <v>264</v>
      </c>
      <c r="E236" s="16" t="s">
        <v>265</v>
      </c>
      <c r="F236" s="16" t="s">
        <v>258</v>
      </c>
      <c r="G236" s="16" t="s">
        <v>260</v>
      </c>
    </row>
    <row r="237" spans="1:9" x14ac:dyDescent="0.2">
      <c r="C237" s="16" t="s">
        <v>269</v>
      </c>
      <c r="D237" s="29">
        <f>HistoricalFS!G10</f>
        <v>5325.9</v>
      </c>
      <c r="E237" s="55">
        <v>12662</v>
      </c>
      <c r="F237" s="55">
        <v>17273.599999999999</v>
      </c>
      <c r="G237" s="55">
        <v>6901.3</v>
      </c>
    </row>
    <row r="238" spans="1:9" x14ac:dyDescent="0.2">
      <c r="C238" s="16" t="s">
        <v>1</v>
      </c>
      <c r="D238" s="69">
        <f>HistoricalFS!G21</f>
        <v>836.1</v>
      </c>
      <c r="E238" s="55">
        <v>1338</v>
      </c>
      <c r="F238" s="55">
        <v>807.3</v>
      </c>
      <c r="G238" s="55">
        <v>1416</v>
      </c>
    </row>
    <row r="239" spans="1:9" x14ac:dyDescent="0.2">
      <c r="C239" s="16" t="s">
        <v>266</v>
      </c>
      <c r="D239" s="48">
        <f>HistoricalFS!G23</f>
        <v>0.157</v>
      </c>
      <c r="E239" s="48">
        <v>0.1057</v>
      </c>
      <c r="F239" s="48">
        <v>4.6699999999999998E-2</v>
      </c>
      <c r="G239" s="48">
        <v>0.20519999999999999</v>
      </c>
    </row>
    <row r="240" spans="1:9" x14ac:dyDescent="0.2">
      <c r="C240" s="16" t="s">
        <v>267</v>
      </c>
      <c r="D240" s="29">
        <f>'Capital structure'!D11</f>
        <v>1262.4000000000001</v>
      </c>
      <c r="E240" s="16">
        <v>311</v>
      </c>
      <c r="F240" s="29">
        <v>-338.2</v>
      </c>
      <c r="G240" s="16">
        <v>713.4</v>
      </c>
    </row>
    <row r="241" spans="3:7" x14ac:dyDescent="0.2">
      <c r="C241" s="16" t="s">
        <v>236</v>
      </c>
      <c r="D241" s="70">
        <v>1.5098672407606746</v>
      </c>
      <c r="E241" s="70">
        <f>E240/E238</f>
        <v>0.23243647234678624</v>
      </c>
      <c r="F241" s="70">
        <f t="shared" ref="F241:G241" si="0">F240/F238</f>
        <v>-0.41892728849250588</v>
      </c>
      <c r="G241" s="70">
        <f t="shared" si="0"/>
        <v>0.50381355932203387</v>
      </c>
    </row>
    <row r="242" spans="3:7" x14ac:dyDescent="0.2">
      <c r="C242" s="16" t="s">
        <v>243</v>
      </c>
      <c r="D242" s="70">
        <v>6.1252747252747257</v>
      </c>
      <c r="E242" s="70">
        <f>E238/E243</f>
        <v>7.1550802139037435</v>
      </c>
      <c r="F242" s="70">
        <f t="shared" ref="F242:G242" si="1">F238/F243</f>
        <v>5.7540983606557372</v>
      </c>
      <c r="G242" s="70">
        <f t="shared" si="1"/>
        <v>16.619718309859156</v>
      </c>
    </row>
    <row r="243" spans="3:7" x14ac:dyDescent="0.2">
      <c r="C243" s="16" t="s">
        <v>270</v>
      </c>
      <c r="E243" s="55">
        <v>187</v>
      </c>
      <c r="F243" s="55">
        <v>140.30000000000001</v>
      </c>
      <c r="G243" s="55">
        <v>85.2</v>
      </c>
    </row>
    <row r="245" spans="3:7" x14ac:dyDescent="0.2">
      <c r="C245" s="16" t="s">
        <v>328</v>
      </c>
    </row>
    <row r="246" spans="3:7" x14ac:dyDescent="0.2">
      <c r="C246" s="16" t="s">
        <v>318</v>
      </c>
      <c r="D246" s="16" t="s">
        <v>319</v>
      </c>
    </row>
    <row r="247" spans="3:7" x14ac:dyDescent="0.2">
      <c r="C247" s="16" t="s">
        <v>246</v>
      </c>
      <c r="D247" s="16">
        <v>388.9</v>
      </c>
      <c r="E247" s="89"/>
    </row>
    <row r="248" spans="3:7" x14ac:dyDescent="0.2">
      <c r="C248" s="16" t="s">
        <v>153</v>
      </c>
      <c r="D248" s="16">
        <v>978.8</v>
      </c>
      <c r="E248" s="89"/>
    </row>
    <row r="249" spans="3:7" x14ac:dyDescent="0.2">
      <c r="C249" s="16" t="s">
        <v>52</v>
      </c>
      <c r="D249" s="29">
        <v>1279.8</v>
      </c>
      <c r="E249" s="89"/>
    </row>
    <row r="250" spans="3:7" x14ac:dyDescent="0.2">
      <c r="C250" s="16" t="s">
        <v>322</v>
      </c>
      <c r="D250" s="29">
        <v>1426.1</v>
      </c>
      <c r="E250" s="89"/>
    </row>
    <row r="251" spans="3:7" x14ac:dyDescent="0.2">
      <c r="C251" s="16" t="s">
        <v>323</v>
      </c>
      <c r="D251" s="16">
        <v>852.2</v>
      </c>
      <c r="E251" s="89"/>
    </row>
    <row r="252" spans="3:7" x14ac:dyDescent="0.2">
      <c r="C252" s="16" t="s">
        <v>324</v>
      </c>
      <c r="D252" s="16">
        <v>516</v>
      </c>
      <c r="E252" s="89"/>
    </row>
    <row r="253" spans="3:7" x14ac:dyDescent="0.2">
      <c r="C253" s="16" t="s">
        <v>325</v>
      </c>
      <c r="D253" s="16">
        <v>764.1</v>
      </c>
      <c r="E253" s="89"/>
    </row>
    <row r="254" spans="3:7" x14ac:dyDescent="0.2">
      <c r="C254" s="16" t="s">
        <v>326</v>
      </c>
      <c r="D254" s="16">
        <v>99.4</v>
      </c>
      <c r="E254" s="89"/>
    </row>
    <row r="255" spans="3:7" x14ac:dyDescent="0.2">
      <c r="C255" s="16" t="s">
        <v>327</v>
      </c>
      <c r="D255" s="16">
        <v>53.6</v>
      </c>
      <c r="E255" s="89"/>
    </row>
    <row r="256" spans="3:7" x14ac:dyDescent="0.2">
      <c r="C256" s="16" t="s">
        <v>193</v>
      </c>
    </row>
  </sheetData>
  <mergeCells count="44">
    <mergeCell ref="A49:B49"/>
    <mergeCell ref="A50:B50"/>
    <mergeCell ref="C50:H50"/>
    <mergeCell ref="A48:B48"/>
    <mergeCell ref="A46:B46"/>
    <mergeCell ref="A47:B47"/>
    <mergeCell ref="A45:B45"/>
    <mergeCell ref="A43:B43"/>
    <mergeCell ref="A44:B44"/>
    <mergeCell ref="A42:B42"/>
    <mergeCell ref="A40:B40"/>
    <mergeCell ref="A41:B41"/>
    <mergeCell ref="A39:B39"/>
    <mergeCell ref="A37:B37"/>
    <mergeCell ref="A38:B38"/>
    <mergeCell ref="A36:B36"/>
    <mergeCell ref="A34:B34"/>
    <mergeCell ref="A35:B35"/>
    <mergeCell ref="A33:B33"/>
    <mergeCell ref="A31:B31"/>
    <mergeCell ref="A32:B32"/>
    <mergeCell ref="A30:B30"/>
    <mergeCell ref="A28:B28"/>
    <mergeCell ref="A29:B29"/>
    <mergeCell ref="A27:B27"/>
    <mergeCell ref="A25:B25"/>
    <mergeCell ref="A26:B26"/>
    <mergeCell ref="A24:B24"/>
    <mergeCell ref="A22:B22"/>
    <mergeCell ref="A23:B23"/>
    <mergeCell ref="A21:B21"/>
    <mergeCell ref="A19:B19"/>
    <mergeCell ref="A20:B20"/>
    <mergeCell ref="A18:B18"/>
    <mergeCell ref="A16:B16"/>
    <mergeCell ref="A17:B17"/>
    <mergeCell ref="A14:B14"/>
    <mergeCell ref="A15:B15"/>
    <mergeCell ref="A13:B13"/>
    <mergeCell ref="A11:B11"/>
    <mergeCell ref="A12:B12"/>
    <mergeCell ref="A10:B10"/>
    <mergeCell ref="A4:A5"/>
    <mergeCell ref="A9:B9"/>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Teaser</vt:lpstr>
      <vt:lpstr>Analysis&gt;</vt:lpstr>
      <vt:lpstr>HistoricalFS</vt:lpstr>
      <vt:lpstr>Segments</vt:lpstr>
      <vt:lpstr>Capital structure</vt:lpstr>
      <vt:lpstr>Peer Analysis</vt:lpstr>
      <vt:lpstr>Drivers</vt:lpstr>
      <vt:lpstr>Scenario Analysis</vt:lpstr>
      <vt:lpstr>Data&gt;</vt:lpstr>
      <vt:lpstr>Data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Dhwani</dc:creator>
  <cp:lastModifiedBy>Dhwani</cp:lastModifiedBy>
  <cp:lastPrinted>2026-09-30T16:30:46Z</cp:lastPrinted>
  <dcterms:created xsi:type="dcterms:W3CDTF">2026-09-29T16:51:14Z</dcterms:created>
  <dcterms:modified xsi:type="dcterms:W3CDTF">2026-10-01T07:44:35Z</dcterms:modified>
</cp:coreProperties>
</file>